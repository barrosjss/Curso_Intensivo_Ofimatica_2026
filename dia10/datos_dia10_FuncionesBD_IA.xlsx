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Ventas_BD" sheetId="1" state="visible" r:id="rId1"/>
    <sheet xmlns:r="http://schemas.openxmlformats.org/officeDocument/2006/relationships" name="Panel_BD_Funciones" sheetId="2" state="visible" r:id="rId2"/>
    <sheet xmlns:r="http://schemas.openxmlformats.org/officeDocument/2006/relationships" name="GUIA_ACTIVIDAD" sheetId="3" state="visible" r:id="rId3"/>
  </sheets>
  <definedNames>
    <definedName name="_xlnm._FilterDatabase" localSheetId="0" hidden="1">'Base_Ventas_BD'!$A$2:$H$2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3">
    <font>
      <name val="Calibri"/>
      <family val="2"/>
      <color theme="1"/>
      <sz val="11"/>
      <scheme val="minor"/>
    </font>
    <font>
      <b val="1"/>
      <color rgb="0034D399"/>
      <sz val="12"/>
    </font>
    <font>
      <b val="1"/>
      <color rgb="00001a06"/>
      <sz val="10"/>
    </font>
    <font>
      <b val="1"/>
      <color rgb="0034D399"/>
      <sz val="13"/>
    </font>
    <font>
      <b val="1"/>
    </font>
    <font>
      <b val="1"/>
      <color rgb="0034D399"/>
    </font>
    <font>
      <b val="1"/>
      <sz val="11"/>
    </font>
    <font>
      <b val="1"/>
      <sz val="10"/>
    </font>
    <font>
      <i val="1"/>
      <color rgb="00888888"/>
    </font>
    <font>
      <color rgb="00000000"/>
      <sz val="10"/>
    </font>
    <font>
      <b val="1"/>
      <color rgb="00333333"/>
      <sz val="11"/>
    </font>
    <font>
      <b val="1"/>
      <color rgb="00C00000"/>
      <sz val="10"/>
    </font>
    <font>
      <color rgb="007030A0"/>
      <sz val="10"/>
    </font>
  </fonts>
  <fills count="6">
    <fill>
      <patternFill/>
    </fill>
    <fill>
      <patternFill patternType="gray125"/>
    </fill>
    <fill>
      <patternFill patternType="solid">
        <fgColor rgb="0034D399"/>
      </patternFill>
    </fill>
    <fill>
      <patternFill patternType="solid">
        <fgColor rgb="00E6FFF6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3" fillId="0" borderId="0" pivotButton="0" quotePrefix="0" xfId="0"/>
    <xf numFmtId="1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BASE DE DATOS VENTAS — FUNCIONES BD EN EXCEL</t>
        </is>
      </c>
    </row>
    <row r="2">
      <c r="A2" s="2" t="inlineStr">
        <is>
          <t>VENDEDOR</t>
        </is>
      </c>
      <c r="B2" s="2" t="inlineStr">
        <is>
          <t>CIUDAD</t>
        </is>
      </c>
      <c r="C2" s="2" t="inlineStr">
        <is>
          <t>MES</t>
        </is>
      </c>
      <c r="D2" s="2" t="inlineStr">
        <is>
          <t>PRODUCTO</t>
        </is>
      </c>
      <c r="E2" s="2" t="inlineStr">
        <is>
          <t>CATEGORIA</t>
        </is>
      </c>
      <c r="F2" s="2" t="inlineStr">
        <is>
          <t>CANTIDAD</t>
        </is>
      </c>
      <c r="G2" s="2" t="inlineStr">
        <is>
          <t>PRECIO_UNIT</t>
        </is>
      </c>
      <c r="H2" s="2" t="inlineStr">
        <is>
          <t>TOTAL_VENTA</t>
        </is>
      </c>
    </row>
    <row r="3">
      <c r="A3" s="3" t="inlineStr">
        <is>
          <t>Pedro Herrera</t>
        </is>
      </c>
      <c r="B3" s="3" t="inlineStr">
        <is>
          <t>Cartagena</t>
        </is>
      </c>
      <c r="C3" s="3" t="inlineStr">
        <is>
          <t>Febrero</t>
        </is>
      </c>
      <c r="D3" s="3" t="inlineStr">
        <is>
          <t>Tóner</t>
        </is>
      </c>
      <c r="E3" s="3" t="inlineStr">
        <is>
          <t>Tecnología</t>
        </is>
      </c>
      <c r="F3" s="3" t="n">
        <v>11</v>
      </c>
      <c r="G3" s="4" t="n">
        <v>185000</v>
      </c>
      <c r="H3" s="4" t="n">
        <v>2035000</v>
      </c>
    </row>
    <row r="4">
      <c r="A4" s="5" t="inlineStr">
        <is>
          <t>Carlos Martínez</t>
        </is>
      </c>
      <c r="B4" s="5" t="inlineStr">
        <is>
          <t>Barranquilla</t>
        </is>
      </c>
      <c r="C4" s="5" t="inlineStr">
        <is>
          <t>Marzo</t>
        </is>
      </c>
      <c r="D4" s="5" t="inlineStr">
        <is>
          <t>Papel</t>
        </is>
      </c>
      <c r="E4" s="5" t="inlineStr">
        <is>
          <t>Papelería</t>
        </is>
      </c>
      <c r="F4" s="5" t="n">
        <v>2</v>
      </c>
      <c r="G4" s="6" t="n">
        <v>18500</v>
      </c>
      <c r="H4" s="6" t="n">
        <v>37000</v>
      </c>
    </row>
    <row r="5">
      <c r="A5" s="3" t="inlineStr">
        <is>
          <t>Pedro Herrera</t>
        </is>
      </c>
      <c r="B5" s="3" t="inlineStr">
        <is>
          <t>Cartagena</t>
        </is>
      </c>
      <c r="C5" s="3" t="inlineStr">
        <is>
          <t>Marzo</t>
        </is>
      </c>
      <c r="D5" s="3" t="inlineStr">
        <is>
          <t>Papel</t>
        </is>
      </c>
      <c r="E5" s="3" t="inlineStr">
        <is>
          <t>Papelería</t>
        </is>
      </c>
      <c r="F5" s="3" t="n">
        <v>4</v>
      </c>
      <c r="G5" s="4" t="n">
        <v>18500</v>
      </c>
      <c r="H5" s="4" t="n">
        <v>74000</v>
      </c>
    </row>
    <row r="6">
      <c r="A6" s="5" t="inlineStr">
        <is>
          <t>Carlos Martínez</t>
        </is>
      </c>
      <c r="B6" s="5" t="inlineStr">
        <is>
          <t>Barranquilla</t>
        </is>
      </c>
      <c r="C6" s="5" t="inlineStr">
        <is>
          <t>Febrero</t>
        </is>
      </c>
      <c r="D6" s="5" t="inlineStr">
        <is>
          <t>Papel</t>
        </is>
      </c>
      <c r="E6" s="5" t="inlineStr">
        <is>
          <t>Papelería</t>
        </is>
      </c>
      <c r="F6" s="5" t="n">
        <v>7</v>
      </c>
      <c r="G6" s="6" t="n">
        <v>18500</v>
      </c>
      <c r="H6" s="6" t="n">
        <v>129500</v>
      </c>
    </row>
    <row r="7">
      <c r="A7" s="3" t="inlineStr">
        <is>
          <t>Carlos Martínez</t>
        </is>
      </c>
      <c r="B7" s="3" t="inlineStr">
        <is>
          <t>Barranquilla</t>
        </is>
      </c>
      <c r="C7" s="3" t="inlineStr">
        <is>
          <t>Enero</t>
        </is>
      </c>
      <c r="D7" s="3" t="inlineStr">
        <is>
          <t>Tóner</t>
        </is>
      </c>
      <c r="E7" s="3" t="inlineStr">
        <is>
          <t>Tecnología</t>
        </is>
      </c>
      <c r="F7" s="3" t="n">
        <v>9</v>
      </c>
      <c r="G7" s="4" t="n">
        <v>185000</v>
      </c>
      <c r="H7" s="4" t="n">
        <v>1665000</v>
      </c>
    </row>
    <row r="8">
      <c r="A8" s="5" t="inlineStr">
        <is>
          <t>Diana Moreno</t>
        </is>
      </c>
      <c r="B8" s="5" t="inlineStr">
        <is>
          <t>Barranquilla</t>
        </is>
      </c>
      <c r="C8" s="5" t="inlineStr">
        <is>
          <t>Marzo</t>
        </is>
      </c>
      <c r="D8" s="5" t="inlineStr">
        <is>
          <t>Papel</t>
        </is>
      </c>
      <c r="E8" s="5" t="inlineStr">
        <is>
          <t>Papelería</t>
        </is>
      </c>
      <c r="F8" s="5" t="n">
        <v>2</v>
      </c>
      <c r="G8" s="6" t="n">
        <v>18500</v>
      </c>
      <c r="H8" s="6" t="n">
        <v>37000</v>
      </c>
    </row>
    <row r="9">
      <c r="A9" s="3" t="inlineStr">
        <is>
          <t>Sandra Castro</t>
        </is>
      </c>
      <c r="B9" s="3" t="inlineStr">
        <is>
          <t>Bogotá</t>
        </is>
      </c>
      <c r="C9" s="3" t="inlineStr">
        <is>
          <t>Marzo</t>
        </is>
      </c>
      <c r="D9" s="3" t="inlineStr">
        <is>
          <t>Papel</t>
        </is>
      </c>
      <c r="E9" s="3" t="inlineStr">
        <is>
          <t>Papelería</t>
        </is>
      </c>
      <c r="F9" s="3" t="n">
        <v>10</v>
      </c>
      <c r="G9" s="4" t="n">
        <v>18500</v>
      </c>
      <c r="H9" s="4" t="n">
        <v>185000</v>
      </c>
    </row>
    <row r="10">
      <c r="A10" s="5" t="inlineStr">
        <is>
          <t>Diana Moreno</t>
        </is>
      </c>
      <c r="B10" s="5" t="inlineStr">
        <is>
          <t>Barranquilla</t>
        </is>
      </c>
      <c r="C10" s="5" t="inlineStr">
        <is>
          <t>Enero</t>
        </is>
      </c>
      <c r="D10" s="5" t="inlineStr">
        <is>
          <t>Papel</t>
        </is>
      </c>
      <c r="E10" s="5" t="inlineStr">
        <is>
          <t>Papelería</t>
        </is>
      </c>
      <c r="F10" s="5" t="n">
        <v>1</v>
      </c>
      <c r="G10" s="6" t="n">
        <v>18500</v>
      </c>
      <c r="H10" s="6" t="n">
        <v>18500</v>
      </c>
    </row>
    <row r="11">
      <c r="A11" s="3" t="inlineStr">
        <is>
          <t>Sandra Castro</t>
        </is>
      </c>
      <c r="B11" s="3" t="inlineStr">
        <is>
          <t>Bogotá</t>
        </is>
      </c>
      <c r="C11" s="3" t="inlineStr">
        <is>
          <t>Febrero</t>
        </is>
      </c>
      <c r="D11" s="3" t="inlineStr">
        <is>
          <t>USB</t>
        </is>
      </c>
      <c r="E11" s="3" t="inlineStr">
        <is>
          <t>Tecnología</t>
        </is>
      </c>
      <c r="F11" s="3" t="n">
        <v>3</v>
      </c>
      <c r="G11" s="4" t="n">
        <v>35000</v>
      </c>
      <c r="H11" s="4" t="n">
        <v>105000</v>
      </c>
    </row>
    <row r="12">
      <c r="A12" s="5" t="inlineStr">
        <is>
          <t>Carlos Martínez</t>
        </is>
      </c>
      <c r="B12" s="5" t="inlineStr">
        <is>
          <t>Barranquilla</t>
        </is>
      </c>
      <c r="C12" s="5" t="inlineStr">
        <is>
          <t>Marzo</t>
        </is>
      </c>
      <c r="D12" s="5" t="inlineStr">
        <is>
          <t>USB</t>
        </is>
      </c>
      <c r="E12" s="5" t="inlineStr">
        <is>
          <t>Tecnología</t>
        </is>
      </c>
      <c r="F12" s="5" t="n">
        <v>14</v>
      </c>
      <c r="G12" s="6" t="n">
        <v>35000</v>
      </c>
      <c r="H12" s="6" t="n">
        <v>490000</v>
      </c>
    </row>
    <row r="13">
      <c r="A13" s="3" t="inlineStr">
        <is>
          <t>Sandra Castro</t>
        </is>
      </c>
      <c r="B13" s="3" t="inlineStr">
        <is>
          <t>Bogotá</t>
        </is>
      </c>
      <c r="C13" s="3" t="inlineStr">
        <is>
          <t>Marzo</t>
        </is>
      </c>
      <c r="D13" s="3" t="inlineStr">
        <is>
          <t>Papel</t>
        </is>
      </c>
      <c r="E13" s="3" t="inlineStr">
        <is>
          <t>Papelería</t>
        </is>
      </c>
      <c r="F13" s="3" t="n">
        <v>10</v>
      </c>
      <c r="G13" s="4" t="n">
        <v>18500</v>
      </c>
      <c r="H13" s="4" t="n">
        <v>185000</v>
      </c>
    </row>
    <row r="14">
      <c r="A14" s="5" t="inlineStr">
        <is>
          <t>Sandra Castro</t>
        </is>
      </c>
      <c r="B14" s="5" t="inlineStr">
        <is>
          <t>Bogotá</t>
        </is>
      </c>
      <c r="C14" s="5" t="inlineStr">
        <is>
          <t>Enero</t>
        </is>
      </c>
      <c r="D14" s="5" t="inlineStr">
        <is>
          <t>USB</t>
        </is>
      </c>
      <c r="E14" s="5" t="inlineStr">
        <is>
          <t>Tecnología</t>
        </is>
      </c>
      <c r="F14" s="5" t="n">
        <v>9</v>
      </c>
      <c r="G14" s="6" t="n">
        <v>35000</v>
      </c>
      <c r="H14" s="6" t="n">
        <v>315000</v>
      </c>
    </row>
    <row r="15">
      <c r="A15" s="3" t="inlineStr">
        <is>
          <t>Carlos Martínez</t>
        </is>
      </c>
      <c r="B15" s="3" t="inlineStr">
        <is>
          <t>Barranquilla</t>
        </is>
      </c>
      <c r="C15" s="3" t="inlineStr">
        <is>
          <t>Marzo</t>
        </is>
      </c>
      <c r="D15" s="3" t="inlineStr">
        <is>
          <t>Papel</t>
        </is>
      </c>
      <c r="E15" s="3" t="inlineStr">
        <is>
          <t>Papelería</t>
        </is>
      </c>
      <c r="F15" s="3" t="n">
        <v>4</v>
      </c>
      <c r="G15" s="4" t="n">
        <v>18500</v>
      </c>
      <c r="H15" s="4" t="n">
        <v>74000</v>
      </c>
    </row>
    <row r="16">
      <c r="A16" s="5" t="inlineStr">
        <is>
          <t>Diana Moreno</t>
        </is>
      </c>
      <c r="B16" s="5" t="inlineStr">
        <is>
          <t>Barranquilla</t>
        </is>
      </c>
      <c r="C16" s="5" t="inlineStr">
        <is>
          <t>Febrero</t>
        </is>
      </c>
      <c r="D16" s="5" t="inlineStr">
        <is>
          <t>Carpeta</t>
        </is>
      </c>
      <c r="E16" s="5" t="inlineStr">
        <is>
          <t>Archivos</t>
        </is>
      </c>
      <c r="F16" s="5" t="n">
        <v>8</v>
      </c>
      <c r="G16" s="6" t="n">
        <v>8500</v>
      </c>
      <c r="H16" s="6" t="n">
        <v>68000</v>
      </c>
    </row>
    <row r="17">
      <c r="A17" s="3" t="inlineStr">
        <is>
          <t>Diana Moreno</t>
        </is>
      </c>
      <c r="B17" s="3" t="inlineStr">
        <is>
          <t>Barranquilla</t>
        </is>
      </c>
      <c r="C17" s="3" t="inlineStr">
        <is>
          <t>Febrero</t>
        </is>
      </c>
      <c r="D17" s="3" t="inlineStr">
        <is>
          <t>USB</t>
        </is>
      </c>
      <c r="E17" s="3" t="inlineStr">
        <is>
          <t>Tecnología</t>
        </is>
      </c>
      <c r="F17" s="3" t="n">
        <v>4</v>
      </c>
      <c r="G17" s="4" t="n">
        <v>35000</v>
      </c>
      <c r="H17" s="4" t="n">
        <v>140000</v>
      </c>
    </row>
    <row r="18">
      <c r="A18" s="5" t="inlineStr">
        <is>
          <t>Sandra Castro</t>
        </is>
      </c>
      <c r="B18" s="5" t="inlineStr">
        <is>
          <t>Bogotá</t>
        </is>
      </c>
      <c r="C18" s="5" t="inlineStr">
        <is>
          <t>Enero</t>
        </is>
      </c>
      <c r="D18" s="5" t="inlineStr">
        <is>
          <t>Tóner</t>
        </is>
      </c>
      <c r="E18" s="5" t="inlineStr">
        <is>
          <t>Tecnología</t>
        </is>
      </c>
      <c r="F18" s="5" t="n">
        <v>10</v>
      </c>
      <c r="G18" s="6" t="n">
        <v>185000</v>
      </c>
      <c r="H18" s="6" t="n">
        <v>1850000</v>
      </c>
    </row>
    <row r="19">
      <c r="A19" s="3" t="inlineStr">
        <is>
          <t>Pedro Herrera</t>
        </is>
      </c>
      <c r="B19" s="3" t="inlineStr">
        <is>
          <t>Cartagena</t>
        </is>
      </c>
      <c r="C19" s="3" t="inlineStr">
        <is>
          <t>Febrero</t>
        </is>
      </c>
      <c r="D19" s="3" t="inlineStr">
        <is>
          <t>Carpeta</t>
        </is>
      </c>
      <c r="E19" s="3" t="inlineStr">
        <is>
          <t>Archivos</t>
        </is>
      </c>
      <c r="F19" s="3" t="n">
        <v>12</v>
      </c>
      <c r="G19" s="4" t="n">
        <v>8500</v>
      </c>
      <c r="H19" s="4" t="n">
        <v>102000</v>
      </c>
    </row>
    <row r="20">
      <c r="A20" s="5" t="inlineStr">
        <is>
          <t>Diana Moreno</t>
        </is>
      </c>
      <c r="B20" s="5" t="inlineStr">
        <is>
          <t>Barranquilla</t>
        </is>
      </c>
      <c r="C20" s="5" t="inlineStr">
        <is>
          <t>Marzo</t>
        </is>
      </c>
      <c r="D20" s="5" t="inlineStr">
        <is>
          <t>USB</t>
        </is>
      </c>
      <c r="E20" s="5" t="inlineStr">
        <is>
          <t>Tecnología</t>
        </is>
      </c>
      <c r="F20" s="5" t="n">
        <v>2</v>
      </c>
      <c r="G20" s="6" t="n">
        <v>35000</v>
      </c>
      <c r="H20" s="6" t="n">
        <v>70000</v>
      </c>
    </row>
    <row r="21">
      <c r="A21" s="3" t="inlineStr">
        <is>
          <t>Carlos Martínez</t>
        </is>
      </c>
      <c r="B21" s="3" t="inlineStr">
        <is>
          <t>Barranquilla</t>
        </is>
      </c>
      <c r="C21" s="3" t="inlineStr">
        <is>
          <t>Enero</t>
        </is>
      </c>
      <c r="D21" s="3" t="inlineStr">
        <is>
          <t>Carpeta</t>
        </is>
      </c>
      <c r="E21" s="3" t="inlineStr">
        <is>
          <t>Archivos</t>
        </is>
      </c>
      <c r="F21" s="3" t="n">
        <v>13</v>
      </c>
      <c r="G21" s="4" t="n">
        <v>8500</v>
      </c>
      <c r="H21" s="4" t="n">
        <v>110500</v>
      </c>
    </row>
    <row r="22">
      <c r="A22" s="5" t="inlineStr">
        <is>
          <t>Pedro Herrera</t>
        </is>
      </c>
      <c r="B22" s="5" t="inlineStr">
        <is>
          <t>Cartagena</t>
        </is>
      </c>
      <c r="C22" s="5" t="inlineStr">
        <is>
          <t>Febrero</t>
        </is>
      </c>
      <c r="D22" s="5" t="inlineStr">
        <is>
          <t>Tóner</t>
        </is>
      </c>
      <c r="E22" s="5" t="inlineStr">
        <is>
          <t>Tecnología</t>
        </is>
      </c>
      <c r="F22" s="5" t="n">
        <v>7</v>
      </c>
      <c r="G22" s="6" t="n">
        <v>185000</v>
      </c>
      <c r="H22" s="6" t="n">
        <v>1295000</v>
      </c>
    </row>
    <row r="23">
      <c r="A23" s="3" t="inlineStr">
        <is>
          <t>Carlos Martínez</t>
        </is>
      </c>
      <c r="B23" s="3" t="inlineStr">
        <is>
          <t>Barranquilla</t>
        </is>
      </c>
      <c r="C23" s="3" t="inlineStr">
        <is>
          <t>Marzo</t>
        </is>
      </c>
      <c r="D23" s="3" t="inlineStr">
        <is>
          <t>Papel</t>
        </is>
      </c>
      <c r="E23" s="3" t="inlineStr">
        <is>
          <t>Papelería</t>
        </is>
      </c>
      <c r="F23" s="3" t="n">
        <v>10</v>
      </c>
      <c r="G23" s="4" t="n">
        <v>18500</v>
      </c>
      <c r="H23" s="4" t="n">
        <v>185000</v>
      </c>
    </row>
    <row r="24">
      <c r="A24" s="5" t="inlineStr">
        <is>
          <t>Pedro Herrera</t>
        </is>
      </c>
      <c r="B24" s="5" t="inlineStr">
        <is>
          <t>Cartagena</t>
        </is>
      </c>
      <c r="C24" s="5" t="inlineStr">
        <is>
          <t>Marzo</t>
        </is>
      </c>
      <c r="D24" s="5" t="inlineStr">
        <is>
          <t>USB</t>
        </is>
      </c>
      <c r="E24" s="5" t="inlineStr">
        <is>
          <t>Tecnología</t>
        </is>
      </c>
      <c r="F24" s="5" t="n">
        <v>6</v>
      </c>
      <c r="G24" s="6" t="n">
        <v>35000</v>
      </c>
      <c r="H24" s="6" t="n">
        <v>210000</v>
      </c>
    </row>
    <row r="25">
      <c r="A25" s="3" t="inlineStr">
        <is>
          <t>Diana Moreno</t>
        </is>
      </c>
      <c r="B25" s="3" t="inlineStr">
        <is>
          <t>Barranquilla</t>
        </is>
      </c>
      <c r="C25" s="3" t="inlineStr">
        <is>
          <t>Enero</t>
        </is>
      </c>
      <c r="D25" s="3" t="inlineStr">
        <is>
          <t>Carpeta</t>
        </is>
      </c>
      <c r="E25" s="3" t="inlineStr">
        <is>
          <t>Archivos</t>
        </is>
      </c>
      <c r="F25" s="3" t="n">
        <v>14</v>
      </c>
      <c r="G25" s="4" t="n">
        <v>8500</v>
      </c>
      <c r="H25" s="4" t="n">
        <v>119000</v>
      </c>
    </row>
    <row r="26">
      <c r="A26" s="5" t="inlineStr">
        <is>
          <t>Carlos Martínez</t>
        </is>
      </c>
      <c r="B26" s="5" t="inlineStr">
        <is>
          <t>Barranquilla</t>
        </is>
      </c>
      <c r="C26" s="5" t="inlineStr">
        <is>
          <t>Febrero</t>
        </is>
      </c>
      <c r="D26" s="5" t="inlineStr">
        <is>
          <t>USB</t>
        </is>
      </c>
      <c r="E26" s="5" t="inlineStr">
        <is>
          <t>Tecnología</t>
        </is>
      </c>
      <c r="F26" s="5" t="n">
        <v>12</v>
      </c>
      <c r="G26" s="6" t="n">
        <v>35000</v>
      </c>
      <c r="H26" s="6" t="n">
        <v>420000</v>
      </c>
    </row>
    <row r="27">
      <c r="A27" s="3" t="inlineStr">
        <is>
          <t>Carlos Martínez</t>
        </is>
      </c>
      <c r="B27" s="3" t="inlineStr">
        <is>
          <t>Barranquilla</t>
        </is>
      </c>
      <c r="C27" s="3" t="inlineStr">
        <is>
          <t>Marzo</t>
        </is>
      </c>
      <c r="D27" s="3" t="inlineStr">
        <is>
          <t>Papel</t>
        </is>
      </c>
      <c r="E27" s="3" t="inlineStr">
        <is>
          <t>Papelería</t>
        </is>
      </c>
      <c r="F27" s="3" t="n">
        <v>12</v>
      </c>
      <c r="G27" s="4" t="n">
        <v>18500</v>
      </c>
      <c r="H27" s="4" t="n">
        <v>222000</v>
      </c>
    </row>
    <row r="28">
      <c r="A28" s="5" t="inlineStr">
        <is>
          <t>Pedro Herrera</t>
        </is>
      </c>
      <c r="B28" s="5" t="inlineStr">
        <is>
          <t>Cartagena</t>
        </is>
      </c>
      <c r="C28" s="5" t="inlineStr">
        <is>
          <t>Febrero</t>
        </is>
      </c>
      <c r="D28" s="5" t="inlineStr">
        <is>
          <t>Carpeta</t>
        </is>
      </c>
      <c r="E28" s="5" t="inlineStr">
        <is>
          <t>Archivos</t>
        </is>
      </c>
      <c r="F28" s="5" t="n">
        <v>12</v>
      </c>
      <c r="G28" s="6" t="n">
        <v>8500</v>
      </c>
      <c r="H28" s="6" t="n">
        <v>102000</v>
      </c>
    </row>
    <row r="29">
      <c r="A29" s="3" t="inlineStr">
        <is>
          <t>Diana Moreno</t>
        </is>
      </c>
      <c r="B29" s="3" t="inlineStr">
        <is>
          <t>Barranquilla</t>
        </is>
      </c>
      <c r="C29" s="3" t="inlineStr">
        <is>
          <t>Enero</t>
        </is>
      </c>
      <c r="D29" s="3" t="inlineStr">
        <is>
          <t>USB</t>
        </is>
      </c>
      <c r="E29" s="3" t="inlineStr">
        <is>
          <t>Tecnología</t>
        </is>
      </c>
      <c r="F29" s="3" t="n">
        <v>8</v>
      </c>
      <c r="G29" s="4" t="n">
        <v>35000</v>
      </c>
      <c r="H29" s="4" t="n">
        <v>280000</v>
      </c>
    </row>
    <row r="30">
      <c r="A30" s="5" t="inlineStr">
        <is>
          <t>Pedro Herrera</t>
        </is>
      </c>
      <c r="B30" s="5" t="inlineStr">
        <is>
          <t>Cartagena</t>
        </is>
      </c>
      <c r="C30" s="5" t="inlineStr">
        <is>
          <t>Marzo</t>
        </is>
      </c>
      <c r="D30" s="5" t="inlineStr">
        <is>
          <t>Tóner</t>
        </is>
      </c>
      <c r="E30" s="5" t="inlineStr">
        <is>
          <t>Tecnología</t>
        </is>
      </c>
      <c r="F30" s="5" t="n">
        <v>2</v>
      </c>
      <c r="G30" s="6" t="n">
        <v>185000</v>
      </c>
      <c r="H30" s="6" t="n">
        <v>370000</v>
      </c>
    </row>
    <row r="31">
      <c r="A31" s="3" t="inlineStr">
        <is>
          <t>Diana Moreno</t>
        </is>
      </c>
      <c r="B31" s="3" t="inlineStr">
        <is>
          <t>Barranquilla</t>
        </is>
      </c>
      <c r="C31" s="3" t="inlineStr">
        <is>
          <t>Enero</t>
        </is>
      </c>
      <c r="D31" s="3" t="inlineStr">
        <is>
          <t>Papel</t>
        </is>
      </c>
      <c r="E31" s="3" t="inlineStr">
        <is>
          <t>Papelería</t>
        </is>
      </c>
      <c r="F31" s="3" t="n">
        <v>13</v>
      </c>
      <c r="G31" s="4" t="n">
        <v>18500</v>
      </c>
      <c r="H31" s="4" t="n">
        <v>240500</v>
      </c>
    </row>
    <row r="32">
      <c r="A32" s="5" t="inlineStr">
        <is>
          <t>Pedro Herrera</t>
        </is>
      </c>
      <c r="B32" s="5" t="inlineStr">
        <is>
          <t>Cartagena</t>
        </is>
      </c>
      <c r="C32" s="5" t="inlineStr">
        <is>
          <t>Marzo</t>
        </is>
      </c>
      <c r="D32" s="5" t="inlineStr">
        <is>
          <t>Tóner</t>
        </is>
      </c>
      <c r="E32" s="5" t="inlineStr">
        <is>
          <t>Tecnología</t>
        </is>
      </c>
      <c r="F32" s="5" t="n">
        <v>4</v>
      </c>
      <c r="G32" s="6" t="n">
        <v>185000</v>
      </c>
      <c r="H32" s="6" t="n">
        <v>740000</v>
      </c>
    </row>
    <row r="33">
      <c r="A33" s="3" t="inlineStr">
        <is>
          <t>Diana Moreno</t>
        </is>
      </c>
      <c r="B33" s="3" t="inlineStr">
        <is>
          <t>Barranquilla</t>
        </is>
      </c>
      <c r="C33" s="3" t="inlineStr">
        <is>
          <t>Febrero</t>
        </is>
      </c>
      <c r="D33" s="3" t="inlineStr">
        <is>
          <t>Carpeta</t>
        </is>
      </c>
      <c r="E33" s="3" t="inlineStr">
        <is>
          <t>Archivos</t>
        </is>
      </c>
      <c r="F33" s="3" t="n">
        <v>2</v>
      </c>
      <c r="G33" s="4" t="n">
        <v>8500</v>
      </c>
      <c r="H33" s="4" t="n">
        <v>17000</v>
      </c>
    </row>
    <row r="34">
      <c r="A34" s="5" t="inlineStr">
        <is>
          <t>Sandra Castro</t>
        </is>
      </c>
      <c r="B34" s="5" t="inlineStr">
        <is>
          <t>Bogotá</t>
        </is>
      </c>
      <c r="C34" s="5" t="inlineStr">
        <is>
          <t>Febrero</t>
        </is>
      </c>
      <c r="D34" s="5" t="inlineStr">
        <is>
          <t>Carpeta</t>
        </is>
      </c>
      <c r="E34" s="5" t="inlineStr">
        <is>
          <t>Archivos</t>
        </is>
      </c>
      <c r="F34" s="5" t="n">
        <v>9</v>
      </c>
      <c r="G34" s="6" t="n">
        <v>8500</v>
      </c>
      <c r="H34" s="6" t="n">
        <v>76500</v>
      </c>
    </row>
    <row r="35">
      <c r="A35" s="3" t="inlineStr">
        <is>
          <t>Pedro Herrera</t>
        </is>
      </c>
      <c r="B35" s="3" t="inlineStr">
        <is>
          <t>Cartagena</t>
        </is>
      </c>
      <c r="C35" s="3" t="inlineStr">
        <is>
          <t>Febrero</t>
        </is>
      </c>
      <c r="D35" s="3" t="inlineStr">
        <is>
          <t>Tóner</t>
        </is>
      </c>
      <c r="E35" s="3" t="inlineStr">
        <is>
          <t>Tecnología</t>
        </is>
      </c>
      <c r="F35" s="3" t="n">
        <v>14</v>
      </c>
      <c r="G35" s="4" t="n">
        <v>185000</v>
      </c>
      <c r="H35" s="4" t="n">
        <v>2590000</v>
      </c>
    </row>
    <row r="36">
      <c r="A36" s="5" t="inlineStr">
        <is>
          <t>Pedro Herrera</t>
        </is>
      </c>
      <c r="B36" s="5" t="inlineStr">
        <is>
          <t>Cartagena</t>
        </is>
      </c>
      <c r="C36" s="5" t="inlineStr">
        <is>
          <t>Febrero</t>
        </is>
      </c>
      <c r="D36" s="5" t="inlineStr">
        <is>
          <t>Carpeta</t>
        </is>
      </c>
      <c r="E36" s="5" t="inlineStr">
        <is>
          <t>Archivos</t>
        </is>
      </c>
      <c r="F36" s="5" t="n">
        <v>11</v>
      </c>
      <c r="G36" s="6" t="n">
        <v>8500</v>
      </c>
      <c r="H36" s="6" t="n">
        <v>93500</v>
      </c>
    </row>
    <row r="37">
      <c r="A37" s="3" t="inlineStr">
        <is>
          <t>Diana Moreno</t>
        </is>
      </c>
      <c r="B37" s="3" t="inlineStr">
        <is>
          <t>Barranquilla</t>
        </is>
      </c>
      <c r="C37" s="3" t="inlineStr">
        <is>
          <t>Enero</t>
        </is>
      </c>
      <c r="D37" s="3" t="inlineStr">
        <is>
          <t>Tóner</t>
        </is>
      </c>
      <c r="E37" s="3" t="inlineStr">
        <is>
          <t>Tecnología</t>
        </is>
      </c>
      <c r="F37" s="3" t="n">
        <v>2</v>
      </c>
      <c r="G37" s="4" t="n">
        <v>185000</v>
      </c>
      <c r="H37" s="4" t="n">
        <v>370000</v>
      </c>
    </row>
    <row r="38">
      <c r="A38" s="5" t="inlineStr">
        <is>
          <t>Sandra Castro</t>
        </is>
      </c>
      <c r="B38" s="5" t="inlineStr">
        <is>
          <t>Bogotá</t>
        </is>
      </c>
      <c r="C38" s="5" t="inlineStr">
        <is>
          <t>Enero</t>
        </is>
      </c>
      <c r="D38" s="5" t="inlineStr">
        <is>
          <t>Tóner</t>
        </is>
      </c>
      <c r="E38" s="5" t="inlineStr">
        <is>
          <t>Tecnología</t>
        </is>
      </c>
      <c r="F38" s="5" t="n">
        <v>11</v>
      </c>
      <c r="G38" s="6" t="n">
        <v>185000</v>
      </c>
      <c r="H38" s="6" t="n">
        <v>2035000</v>
      </c>
    </row>
    <row r="39">
      <c r="A39" s="3" t="inlineStr">
        <is>
          <t>Sandra Castro</t>
        </is>
      </c>
      <c r="B39" s="3" t="inlineStr">
        <is>
          <t>Bogotá</t>
        </is>
      </c>
      <c r="C39" s="3" t="inlineStr">
        <is>
          <t>Febrero</t>
        </is>
      </c>
      <c r="D39" s="3" t="inlineStr">
        <is>
          <t>Papel</t>
        </is>
      </c>
      <c r="E39" s="3" t="inlineStr">
        <is>
          <t>Papelería</t>
        </is>
      </c>
      <c r="F39" s="3" t="n">
        <v>14</v>
      </c>
      <c r="G39" s="4" t="n">
        <v>18500</v>
      </c>
      <c r="H39" s="4" t="n">
        <v>259000</v>
      </c>
    </row>
    <row r="40">
      <c r="A40" s="5" t="inlineStr">
        <is>
          <t>Sandra Castro</t>
        </is>
      </c>
      <c r="B40" s="5" t="inlineStr">
        <is>
          <t>Bogotá</t>
        </is>
      </c>
      <c r="C40" s="5" t="inlineStr">
        <is>
          <t>Febrero</t>
        </is>
      </c>
      <c r="D40" s="5" t="inlineStr">
        <is>
          <t>USB</t>
        </is>
      </c>
      <c r="E40" s="5" t="inlineStr">
        <is>
          <t>Tecnología</t>
        </is>
      </c>
      <c r="F40" s="5" t="n">
        <v>1</v>
      </c>
      <c r="G40" s="6" t="n">
        <v>35000</v>
      </c>
      <c r="H40" s="6" t="n">
        <v>35000</v>
      </c>
    </row>
    <row r="41">
      <c r="A41" s="3" t="inlineStr">
        <is>
          <t>Sandra Castro</t>
        </is>
      </c>
      <c r="B41" s="3" t="inlineStr">
        <is>
          <t>Bogotá</t>
        </is>
      </c>
      <c r="C41" s="3" t="inlineStr">
        <is>
          <t>Marzo</t>
        </is>
      </c>
      <c r="D41" s="3" t="inlineStr">
        <is>
          <t>Carpeta</t>
        </is>
      </c>
      <c r="E41" s="3" t="inlineStr">
        <is>
          <t>Archivos</t>
        </is>
      </c>
      <c r="F41" s="3" t="n">
        <v>6</v>
      </c>
      <c r="G41" s="4" t="n">
        <v>8500</v>
      </c>
      <c r="H41" s="4" t="n">
        <v>51000</v>
      </c>
    </row>
    <row r="42">
      <c r="A42" s="5" t="inlineStr">
        <is>
          <t>Pedro Herrera</t>
        </is>
      </c>
      <c r="B42" s="5" t="inlineStr">
        <is>
          <t>Cartagena</t>
        </is>
      </c>
      <c r="C42" s="5" t="inlineStr">
        <is>
          <t>Marzo</t>
        </is>
      </c>
      <c r="D42" s="5" t="inlineStr">
        <is>
          <t>Tóner</t>
        </is>
      </c>
      <c r="E42" s="5" t="inlineStr">
        <is>
          <t>Tecnología</t>
        </is>
      </c>
      <c r="F42" s="5" t="n">
        <v>14</v>
      </c>
      <c r="G42" s="6" t="n">
        <v>185000</v>
      </c>
      <c r="H42" s="6" t="n">
        <v>2590000</v>
      </c>
    </row>
    <row r="43">
      <c r="A43" s="3" t="inlineStr">
        <is>
          <t>Carlos Martínez</t>
        </is>
      </c>
      <c r="B43" s="3" t="inlineStr">
        <is>
          <t>Barranquilla</t>
        </is>
      </c>
      <c r="C43" s="3" t="inlineStr">
        <is>
          <t>Marzo</t>
        </is>
      </c>
      <c r="D43" s="3" t="inlineStr">
        <is>
          <t>Carpeta</t>
        </is>
      </c>
      <c r="E43" s="3" t="inlineStr">
        <is>
          <t>Archivos</t>
        </is>
      </c>
      <c r="F43" s="3" t="n">
        <v>13</v>
      </c>
      <c r="G43" s="4" t="n">
        <v>8500</v>
      </c>
      <c r="H43" s="4" t="n">
        <v>110500</v>
      </c>
    </row>
    <row r="44">
      <c r="A44" s="5" t="inlineStr">
        <is>
          <t>Diana Moreno</t>
        </is>
      </c>
      <c r="B44" s="5" t="inlineStr">
        <is>
          <t>Barranquilla</t>
        </is>
      </c>
      <c r="C44" s="5" t="inlineStr">
        <is>
          <t>Febrero</t>
        </is>
      </c>
      <c r="D44" s="5" t="inlineStr">
        <is>
          <t>Carpeta</t>
        </is>
      </c>
      <c r="E44" s="5" t="inlineStr">
        <is>
          <t>Archivos</t>
        </is>
      </c>
      <c r="F44" s="5" t="n">
        <v>7</v>
      </c>
      <c r="G44" s="6" t="n">
        <v>8500</v>
      </c>
      <c r="H44" s="6" t="n">
        <v>59500</v>
      </c>
    </row>
    <row r="45">
      <c r="A45" s="3" t="inlineStr">
        <is>
          <t>Carlos Martínez</t>
        </is>
      </c>
      <c r="B45" s="3" t="inlineStr">
        <is>
          <t>Barranquilla</t>
        </is>
      </c>
      <c r="C45" s="3" t="inlineStr">
        <is>
          <t>Marzo</t>
        </is>
      </c>
      <c r="D45" s="3" t="inlineStr">
        <is>
          <t>Carpeta</t>
        </is>
      </c>
      <c r="E45" s="3" t="inlineStr">
        <is>
          <t>Archivos</t>
        </is>
      </c>
      <c r="F45" s="3" t="n">
        <v>7</v>
      </c>
      <c r="G45" s="4" t="n">
        <v>8500</v>
      </c>
      <c r="H45" s="4" t="n">
        <v>59500</v>
      </c>
    </row>
    <row r="46">
      <c r="A46" s="5" t="inlineStr">
        <is>
          <t>Carlos Martínez</t>
        </is>
      </c>
      <c r="B46" s="5" t="inlineStr">
        <is>
          <t>Barranquilla</t>
        </is>
      </c>
      <c r="C46" s="5" t="inlineStr">
        <is>
          <t>Enero</t>
        </is>
      </c>
      <c r="D46" s="5" t="inlineStr">
        <is>
          <t>Tóner</t>
        </is>
      </c>
      <c r="E46" s="5" t="inlineStr">
        <is>
          <t>Tecnología</t>
        </is>
      </c>
      <c r="F46" s="5" t="n">
        <v>4</v>
      </c>
      <c r="G46" s="6" t="n">
        <v>185000</v>
      </c>
      <c r="H46" s="6" t="n">
        <v>740000</v>
      </c>
    </row>
    <row r="47">
      <c r="A47" s="3" t="inlineStr">
        <is>
          <t>Diana Moreno</t>
        </is>
      </c>
      <c r="B47" s="3" t="inlineStr">
        <is>
          <t>Barranquilla</t>
        </is>
      </c>
      <c r="C47" s="3" t="inlineStr">
        <is>
          <t>Enero</t>
        </is>
      </c>
      <c r="D47" s="3" t="inlineStr">
        <is>
          <t>Tóner</t>
        </is>
      </c>
      <c r="E47" s="3" t="inlineStr">
        <is>
          <t>Tecnología</t>
        </is>
      </c>
      <c r="F47" s="3" t="n">
        <v>6</v>
      </c>
      <c r="G47" s="4" t="n">
        <v>185000</v>
      </c>
      <c r="H47" s="4" t="n">
        <v>1110000</v>
      </c>
    </row>
    <row r="48">
      <c r="A48" s="5" t="inlineStr">
        <is>
          <t>Carlos Martínez</t>
        </is>
      </c>
      <c r="B48" s="5" t="inlineStr">
        <is>
          <t>Barranquilla</t>
        </is>
      </c>
      <c r="C48" s="5" t="inlineStr">
        <is>
          <t>Enero</t>
        </is>
      </c>
      <c r="D48" s="5" t="inlineStr">
        <is>
          <t>Papel</t>
        </is>
      </c>
      <c r="E48" s="5" t="inlineStr">
        <is>
          <t>Papelería</t>
        </is>
      </c>
      <c r="F48" s="5" t="n">
        <v>10</v>
      </c>
      <c r="G48" s="6" t="n">
        <v>18500</v>
      </c>
      <c r="H48" s="6" t="n">
        <v>185000</v>
      </c>
    </row>
    <row r="49">
      <c r="A49" s="3" t="inlineStr">
        <is>
          <t>Sandra Castro</t>
        </is>
      </c>
      <c r="B49" s="3" t="inlineStr">
        <is>
          <t>Bogotá</t>
        </is>
      </c>
      <c r="C49" s="3" t="inlineStr">
        <is>
          <t>Febrero</t>
        </is>
      </c>
      <c r="D49" s="3" t="inlineStr">
        <is>
          <t>Papel</t>
        </is>
      </c>
      <c r="E49" s="3" t="inlineStr">
        <is>
          <t>Papelería</t>
        </is>
      </c>
      <c r="F49" s="3" t="n">
        <v>10</v>
      </c>
      <c r="G49" s="4" t="n">
        <v>18500</v>
      </c>
      <c r="H49" s="4" t="n">
        <v>185000</v>
      </c>
    </row>
    <row r="50">
      <c r="A50" s="5" t="inlineStr">
        <is>
          <t>Carlos Martínez</t>
        </is>
      </c>
      <c r="B50" s="5" t="inlineStr">
        <is>
          <t>Barranquilla</t>
        </is>
      </c>
      <c r="C50" s="5" t="inlineStr">
        <is>
          <t>Enero</t>
        </is>
      </c>
      <c r="D50" s="5" t="inlineStr">
        <is>
          <t>Papel</t>
        </is>
      </c>
      <c r="E50" s="5" t="inlineStr">
        <is>
          <t>Papelería</t>
        </is>
      </c>
      <c r="F50" s="5" t="n">
        <v>10</v>
      </c>
      <c r="G50" s="6" t="n">
        <v>18500</v>
      </c>
      <c r="H50" s="6" t="n">
        <v>185000</v>
      </c>
    </row>
    <row r="51">
      <c r="A51" s="3" t="inlineStr">
        <is>
          <t>Diana Moreno</t>
        </is>
      </c>
      <c r="B51" s="3" t="inlineStr">
        <is>
          <t>Barranquilla</t>
        </is>
      </c>
      <c r="C51" s="3" t="inlineStr">
        <is>
          <t>Marzo</t>
        </is>
      </c>
      <c r="D51" s="3" t="inlineStr">
        <is>
          <t>Tóner</t>
        </is>
      </c>
      <c r="E51" s="3" t="inlineStr">
        <is>
          <t>Tecnología</t>
        </is>
      </c>
      <c r="F51" s="3" t="n">
        <v>5</v>
      </c>
      <c r="G51" s="4" t="n">
        <v>185000</v>
      </c>
      <c r="H51" s="4" t="n">
        <v>925000</v>
      </c>
    </row>
    <row r="52">
      <c r="A52" s="5" t="inlineStr">
        <is>
          <t>Pedro Herrera</t>
        </is>
      </c>
      <c r="B52" s="5" t="inlineStr">
        <is>
          <t>Cartagena</t>
        </is>
      </c>
      <c r="C52" s="5" t="inlineStr">
        <is>
          <t>Febrero</t>
        </is>
      </c>
      <c r="D52" s="5" t="inlineStr">
        <is>
          <t>USB</t>
        </is>
      </c>
      <c r="E52" s="5" t="inlineStr">
        <is>
          <t>Tecnología</t>
        </is>
      </c>
      <c r="F52" s="5" t="n">
        <v>2</v>
      </c>
      <c r="G52" s="6" t="n">
        <v>35000</v>
      </c>
      <c r="H52" s="6" t="n">
        <v>70000</v>
      </c>
    </row>
  </sheetData>
  <autoFilter ref="A2:H2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16" customWidth="1" min="4" max="4"/>
  </cols>
  <sheetData>
    <row r="1">
      <c r="A1" s="7" t="inlineStr">
        <is>
          <t>PANEL DE ANÁLISIS — FUNCIONES BD</t>
        </is>
      </c>
    </row>
    <row r="3">
      <c r="A3" s="8" t="inlineStr">
        <is>
          <t>RANGO DE CRITERIOS (editar celdas amarillas):</t>
        </is>
      </c>
    </row>
    <row r="4">
      <c r="A4" s="9" t="inlineStr">
        <is>
          <t>CIUDAD</t>
        </is>
      </c>
      <c r="B4" s="9" t="inlineStr">
        <is>
          <t>MES</t>
        </is>
      </c>
      <c r="C4" s="9" t="inlineStr">
        <is>
          <t>CATEGORIA</t>
        </is>
      </c>
    </row>
    <row r="5">
      <c r="A5" s="10" t="inlineStr">
        <is>
          <t>Barranquilla</t>
        </is>
      </c>
      <c r="B5" s="10" t="inlineStr">
        <is>
          <t>Enero</t>
        </is>
      </c>
      <c r="C5" s="10" t="inlineStr"/>
    </row>
    <row r="7">
      <c r="A7" s="11" t="inlineStr">
        <is>
          <t>RESULTADOS:</t>
        </is>
      </c>
    </row>
    <row r="8" ht="28" customHeight="1">
      <c r="A8" s="12" t="inlineStr">
        <is>
          <t>Total ventas con criterios:</t>
        </is>
      </c>
      <c r="B8" s="13">
        <f>BDSUMA(Base_Ventas_BD!A2:H52,"TOTAL_VENTA",A4:C5)</f>
        <v/>
      </c>
    </row>
    <row r="9" ht="28" customHeight="1">
      <c r="A9" s="12" t="inlineStr">
        <is>
          <t>Nro de transacciones:</t>
        </is>
      </c>
      <c r="B9" s="14">
        <f>BDCONTAR(Base_Ventas_BD!A2:H52,"CANTIDAD",A4:C5)</f>
        <v/>
      </c>
    </row>
    <row r="10" ht="28" customHeight="1">
      <c r="A10" s="12" t="inlineStr">
        <is>
          <t>Venta promedio:</t>
        </is>
      </c>
      <c r="B10" s="13">
        <f>BDPROMEDIO(Base_Ventas_BD!A2:H52,"TOTAL_VENTA",A4:C5)</f>
        <v/>
      </c>
    </row>
    <row r="11" ht="28" customHeight="1">
      <c r="A11" s="12" t="inlineStr">
        <is>
          <t>Venta máxima:</t>
        </is>
      </c>
      <c r="B11" s="13">
        <f>BDMAX(Base_Ventas_BD!A2:H52,"TOTAL_VENTA",A4:C5)</f>
        <v/>
      </c>
    </row>
    <row r="13">
      <c r="A13" s="15" t="inlineStr">
        <is>
          <t>INSTRUCCIÓN: Cambia los valores en A5, B5, C5 para filtrar diferentes resultados.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7" t="inlineStr">
        <is>
          <t>ACTIVIDAD PRÁCTICA — DÍA 10: Funciones BD + IA Administrativa</t>
        </is>
      </c>
    </row>
    <row r="2">
      <c r="A2" s="16" t="inlineStr"/>
    </row>
    <row r="3">
      <c r="A3" s="17" t="inlineStr">
        <is>
          <t>PARTE 1 — FUNCIONES BD (30 min)</t>
        </is>
      </c>
    </row>
    <row r="4">
      <c r="A4" s="16" t="inlineStr">
        <is>
          <t>1. Ve a la hoja "Panel_BD_Funciones"</t>
        </is>
      </c>
    </row>
    <row r="5">
      <c r="A5" s="16" t="inlineStr">
        <is>
          <t>2. Prueba cambiar la ciudad en A5 a "Bogotá" — ¿cambian todos los resultados?</t>
        </is>
      </c>
    </row>
    <row r="6">
      <c r="A6" s="16" t="inlineStr">
        <is>
          <t>3. Cambia B5 a "Febrero" — ¿cuántas transacciones hubo en Bogotá en Febrero?</t>
        </is>
      </c>
    </row>
    <row r="7">
      <c r="A7" s="16" t="inlineStr">
        <is>
          <t>4. Borra B5 — ahora muestra todas las ciudades sin filtro de mes</t>
        </is>
      </c>
    </row>
    <row r="8">
      <c r="A8" s="16" t="inlineStr">
        <is>
          <t>5. Agrega un criterio O: pon "Cartagena" en A6 y repite los cálculos</t>
        </is>
      </c>
    </row>
    <row r="9">
      <c r="A9" s="16" t="inlineStr">
        <is>
          <t>6. Añade BDMIN para encontrar la venta más pequeña</t>
        </is>
      </c>
    </row>
    <row r="10">
      <c r="A10" s="16" t="inlineStr"/>
    </row>
    <row r="11">
      <c r="A11" s="17" t="inlineStr">
        <is>
          <t>PARTE 2 — TAREAS CON IA (35 min)</t>
        </is>
      </c>
    </row>
    <row r="12">
      <c r="A12" s="16" t="inlineStr">
        <is>
          <t>1. Abre ChatGPT o Copilot en el navegador</t>
        </is>
      </c>
    </row>
    <row r="13">
      <c r="A13" s="16" t="inlineStr">
        <is>
          <t>2. Tarea A: pide que escriba un correo de cobro para el cliente "Distribuciones Caribe"</t>
        </is>
      </c>
    </row>
    <row r="14">
      <c r="A14" s="16" t="inlineStr">
        <is>
          <t xml:space="preserve">   (factura #F-2025-042, $3.8M, 45 días vencida)</t>
        </is>
      </c>
    </row>
    <row r="15">
      <c r="A15" s="16" t="inlineStr">
        <is>
          <t>3. Tarea B: pide una lista de 8 pasos para el proceso de cierre de ventas mensual</t>
        </is>
      </c>
    </row>
    <row r="16">
      <c r="A16" s="16" t="inlineStr">
        <is>
          <t>4. Tarea C: copia una fórmula BD complicada y pide que la explique en español simple</t>
        </is>
      </c>
    </row>
    <row r="17">
      <c r="A17" s="16" t="inlineStr">
        <is>
          <t>5. Guarda los 3 resultados en un documento Word — revisando y corrigiendo cada uno</t>
        </is>
      </c>
    </row>
    <row r="18">
      <c r="A18" s="16" t="inlineStr"/>
    </row>
    <row r="19">
      <c r="A19" s="18" t="inlineStr">
        <is>
          <t>IMPORTANTE: Usa datos ficticios de ADMIN CARIBE, nunca datos reales de personas.</t>
        </is>
      </c>
    </row>
    <row r="20">
      <c r="A20" s="16" t="inlineStr"/>
    </row>
    <row r="21">
      <c r="A21" s="19" t="inlineStr">
        <is>
          <t>Guarda el Excel como: Actividad_D10_TuNombre.xlsx</t>
        </is>
      </c>
    </row>
    <row r="22">
      <c r="A22" s="19" t="inlineStr">
        <is>
          <t>Guarda el Word como: Tareas_IA_D10_TuNombre.docx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2026-06-18T23:11:53Z</dcterms:created>
  <dcterms:modified xmlns:dcterms="http://purl.org/dc/terms/" xmlns:xsi="http://www.w3.org/2001/XMLSchema-instance" xsi:type="dcterms:W3CDTF">2026-06-18T23:11:53Z</dcterms:modified>
</cp:coreProperties>
</file>