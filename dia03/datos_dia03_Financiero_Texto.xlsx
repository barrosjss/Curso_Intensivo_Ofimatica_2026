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es_Financieras" sheetId="1" state="visible" r:id="rId1"/>
    <sheet xmlns:r="http://schemas.openxmlformats.org/officeDocument/2006/relationships" name="Tabla_Amortizacion" sheetId="2" state="visible" r:id="rId2"/>
    <sheet xmlns:r="http://schemas.openxmlformats.org/officeDocument/2006/relationships" name="Funciones_Texto" sheetId="3" state="visible" r:id="rId3"/>
    <sheet xmlns:r="http://schemas.openxmlformats.org/officeDocument/2006/relationships" name="GUIA_ACTIVI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2">
    <font>
      <name val="Calibri"/>
      <family val="2"/>
      <color theme="1"/>
      <sz val="11"/>
      <scheme val="minor"/>
    </font>
    <font>
      <b val="1"/>
      <color rgb="00F0B429"/>
      <sz val="12"/>
    </font>
    <font>
      <b val="1"/>
      <color rgb="00F0B429"/>
      <sz val="11"/>
    </font>
    <font>
      <b val="1"/>
    </font>
    <font>
      <b val="1"/>
      <color rgb="00F0B429"/>
    </font>
    <font>
      <b val="1"/>
      <color rgb="001AB87A"/>
    </font>
    <font>
      <b val="1"/>
      <color rgb="001a1500"/>
      <sz val="10"/>
    </font>
    <font>
      <color rgb="000070C0"/>
      <sz val="9"/>
    </font>
    <font>
      <b val="1"/>
      <color rgb="00F0B429"/>
      <sz val="13"/>
    </font>
    <font>
      <color rgb="00000000"/>
      <sz val="10"/>
    </font>
    <font>
      <b val="1"/>
      <color rgb="00333333"/>
      <sz val="11"/>
    </font>
    <font>
      <color rgb="007030A0"/>
      <sz val="10"/>
    </font>
  </fonts>
  <fills count="7">
    <fill>
      <patternFill/>
    </fill>
    <fill>
      <patternFill patternType="gray125"/>
    </fill>
    <fill>
      <patternFill patternType="solid">
        <fgColor rgb="001a1500"/>
      </patternFill>
    </fill>
    <fill>
      <patternFill patternType="solid">
        <fgColor rgb="00F0B429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2a15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164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4" fillId="0" borderId="0" pivotButton="0" quotePrefix="0" xfId="0"/>
    <xf numFmtId="0" fontId="4" fillId="6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16" customWidth="1" min="4" max="4"/>
  </cols>
  <sheetData>
    <row r="1">
      <c r="A1" s="1" t="inlineStr">
        <is>
          <t>CALCULADORA FINANCIERA — PAGO, VA, VF, TASA, NPER</t>
        </is>
      </c>
    </row>
    <row r="3">
      <c r="A3" s="2" t="inlineStr">
        <is>
          <t>FUNCIÓN PAGO — ¿Cuánto pago por mes?</t>
        </is>
      </c>
    </row>
    <row r="5">
      <c r="A5" t="inlineStr">
        <is>
          <t>Monto del crédito (PV):</t>
        </is>
      </c>
      <c r="B5" s="3" t="n">
        <v>50000000</v>
      </c>
    </row>
    <row r="6">
      <c r="A6" t="inlineStr">
        <is>
          <t>Tasa mensual (RATE):</t>
        </is>
      </c>
      <c r="B6" s="4" t="n">
        <v>0.012</v>
      </c>
    </row>
    <row r="7">
      <c r="A7" t="inlineStr">
        <is>
          <t>Número de cuotas (NPER):</t>
        </is>
      </c>
      <c r="B7" s="5" t="n">
        <v>36</v>
      </c>
    </row>
    <row r="8">
      <c r="A8" s="6" t="inlineStr">
        <is>
          <t>CUOTA MENSUAL (PAGO):</t>
        </is>
      </c>
      <c r="B8" s="7">
        <f>PAGO(B6,B7,B5)*-1</f>
        <v/>
      </c>
    </row>
    <row r="9">
      <c r="A9" s="6" t="inlineStr">
        <is>
          <t>TOTAL A PAGAR:</t>
        </is>
      </c>
      <c r="B9" s="7">
        <f>B8*B7</f>
        <v/>
      </c>
    </row>
    <row r="10">
      <c r="A10" s="6" t="inlineStr">
        <is>
          <t>TOTAL INTERESES:</t>
        </is>
      </c>
      <c r="B10" s="7">
        <f>B9-B5</f>
        <v/>
      </c>
    </row>
    <row r="12">
      <c r="A12" s="2" t="inlineStr">
        <is>
          <t>FUNCIÓN VF — ¿Cuánto tendré si ahorro?</t>
        </is>
      </c>
    </row>
    <row r="13">
      <c r="A13" t="inlineStr">
        <is>
          <t>Ahorro mensual (PMT):</t>
        </is>
      </c>
      <c r="B13" s="3" t="n">
        <v>500000</v>
      </c>
    </row>
    <row r="14">
      <c r="A14" t="inlineStr">
        <is>
          <t>Tasa mensual (RATE):</t>
        </is>
      </c>
      <c r="B14" s="4" t="n">
        <v>0.008</v>
      </c>
    </row>
    <row r="15">
      <c r="A15" t="inlineStr">
        <is>
          <t>Número de meses (NPER):</t>
        </is>
      </c>
      <c r="B15" t="n">
        <v>24</v>
      </c>
    </row>
    <row r="16">
      <c r="A16" t="inlineStr">
        <is>
          <t>VALOR FUTURO (VF):</t>
        </is>
      </c>
      <c r="B16" s="8">
        <f>VF(B14,B15,-B13,0,0)</f>
        <v/>
      </c>
    </row>
    <row r="18">
      <c r="A18" s="2" t="inlineStr">
        <is>
          <t>FUNCIÓN VA — ¿Cuánto vale hoy una renta futura?</t>
        </is>
      </c>
    </row>
    <row r="19">
      <c r="A19" t="inlineStr">
        <is>
          <t>Renta mensual (PMT):</t>
        </is>
      </c>
      <c r="B19" s="3" t="n">
        <v>800000</v>
      </c>
    </row>
    <row r="20">
      <c r="A20" t="inlineStr">
        <is>
          <t>Tasa de descuento mensual:</t>
        </is>
      </c>
      <c r="B20" s="4" t="n">
        <v>0.01</v>
      </c>
    </row>
    <row r="21">
      <c r="A21" t="inlineStr">
        <is>
          <t>Número de períodos:</t>
        </is>
      </c>
      <c r="B21" t="n">
        <v>12</v>
      </c>
    </row>
    <row r="22">
      <c r="A22" t="inlineStr">
        <is>
          <t>VALOR ACTUAL (VA):</t>
        </is>
      </c>
      <c r="B22" s="8">
        <f>VA(B20,B21,-B19,0,0)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</cols>
  <sheetData>
    <row r="1">
      <c r="A1" s="2" t="inlineStr">
        <is>
          <t>TABLA DE AMORTIZACIÓN — CRÉDITO $50,000,000 — 12 MESES — 1.2% MES</t>
        </is>
      </c>
    </row>
    <row r="2">
      <c r="A2" s="9" t="inlineStr">
        <is>
          <t>CUOTA</t>
        </is>
      </c>
      <c r="B2" s="9" t="inlineStr">
        <is>
          <t>SALDO_INICIAL</t>
        </is>
      </c>
      <c r="C2" s="9" t="inlineStr">
        <is>
          <t>INTERÉS</t>
        </is>
      </c>
      <c r="D2" s="9" t="inlineStr">
        <is>
          <t>ABONO_CAPITAL</t>
        </is>
      </c>
      <c r="E2" s="9" t="inlineStr">
        <is>
          <t>PAGO_TOTAL</t>
        </is>
      </c>
      <c r="F2" s="9" t="inlineStr">
        <is>
          <t>SALDO_FINAL</t>
        </is>
      </c>
    </row>
    <row r="3">
      <c r="A3" s="10" t="n">
        <v>1</v>
      </c>
      <c r="B3" s="11" t="n">
        <v>50000000</v>
      </c>
      <c r="C3" s="11" t="n">
        <v>600000</v>
      </c>
      <c r="D3" s="11" t="n">
        <v>3898772</v>
      </c>
      <c r="E3" s="11" t="n">
        <v>4498772</v>
      </c>
      <c r="F3" s="11" t="n">
        <v>46101228</v>
      </c>
    </row>
    <row r="4">
      <c r="A4" s="12" t="n">
        <v>2</v>
      </c>
      <c r="B4" s="13" t="n">
        <v>46101228</v>
      </c>
      <c r="C4" s="13" t="n">
        <v>553215</v>
      </c>
      <c r="D4" s="13" t="n">
        <v>3945557</v>
      </c>
      <c r="E4" s="13" t="n">
        <v>4498772</v>
      </c>
      <c r="F4" s="13" t="n">
        <v>42155671</v>
      </c>
    </row>
    <row r="5">
      <c r="A5" s="10" t="n">
        <v>3</v>
      </c>
      <c r="B5" s="11" t="n">
        <v>42155671</v>
      </c>
      <c r="C5" s="11" t="n">
        <v>505868</v>
      </c>
      <c r="D5" s="11" t="n">
        <v>3992904</v>
      </c>
      <c r="E5" s="11" t="n">
        <v>4498772</v>
      </c>
      <c r="F5" s="11" t="n">
        <v>38162768</v>
      </c>
    </row>
    <row r="6">
      <c r="A6" s="12" t="n">
        <v>4</v>
      </c>
      <c r="B6" s="13" t="n">
        <v>38162768</v>
      </c>
      <c r="C6" s="13" t="n">
        <v>457953</v>
      </c>
      <c r="D6" s="13" t="n">
        <v>4040818</v>
      </c>
      <c r="E6" s="13" t="n">
        <v>4498772</v>
      </c>
      <c r="F6" s="13" t="n">
        <v>34121949</v>
      </c>
    </row>
    <row r="7">
      <c r="A7" s="10" t="n">
        <v>5</v>
      </c>
      <c r="B7" s="11" t="n">
        <v>34121949</v>
      </c>
      <c r="C7" s="11" t="n">
        <v>409463</v>
      </c>
      <c r="D7" s="11" t="n">
        <v>4089308</v>
      </c>
      <c r="E7" s="11" t="n">
        <v>4498772</v>
      </c>
      <c r="F7" s="11" t="n">
        <v>30032641</v>
      </c>
    </row>
    <row r="8">
      <c r="A8" s="12" t="n">
        <v>6</v>
      </c>
      <c r="B8" s="13" t="n">
        <v>30032641</v>
      </c>
      <c r="C8" s="13" t="n">
        <v>360392</v>
      </c>
      <c r="D8" s="13" t="n">
        <v>4138380</v>
      </c>
      <c r="E8" s="13" t="n">
        <v>4498772</v>
      </c>
      <c r="F8" s="13" t="n">
        <v>25894261</v>
      </c>
    </row>
    <row r="9">
      <c r="A9" s="10" t="n">
        <v>7</v>
      </c>
      <c r="B9" s="11" t="n">
        <v>25894261</v>
      </c>
      <c r="C9" s="11" t="n">
        <v>310731</v>
      </c>
      <c r="D9" s="11" t="n">
        <v>4188041</v>
      </c>
      <c r="E9" s="11" t="n">
        <v>4498772</v>
      </c>
      <c r="F9" s="11" t="n">
        <v>21706221</v>
      </c>
    </row>
    <row r="10">
      <c r="A10" s="12" t="n">
        <v>8</v>
      </c>
      <c r="B10" s="13" t="n">
        <v>21706221</v>
      </c>
      <c r="C10" s="13" t="n">
        <v>260475</v>
      </c>
      <c r="D10" s="13" t="n">
        <v>4238297</v>
      </c>
      <c r="E10" s="13" t="n">
        <v>4498772</v>
      </c>
      <c r="F10" s="13" t="n">
        <v>17467924</v>
      </c>
    </row>
    <row r="11">
      <c r="A11" s="10" t="n">
        <v>9</v>
      </c>
      <c r="B11" s="11" t="n">
        <v>17467924</v>
      </c>
      <c r="C11" s="11" t="n">
        <v>209615</v>
      </c>
      <c r="D11" s="11" t="n">
        <v>4289157</v>
      </c>
      <c r="E11" s="11" t="n">
        <v>4498772</v>
      </c>
      <c r="F11" s="11" t="n">
        <v>13178767</v>
      </c>
    </row>
    <row r="12">
      <c r="A12" s="12" t="n">
        <v>10</v>
      </c>
      <c r="B12" s="13" t="n">
        <v>13178767</v>
      </c>
      <c r="C12" s="13" t="n">
        <v>158145</v>
      </c>
      <c r="D12" s="13" t="n">
        <v>4340626</v>
      </c>
      <c r="E12" s="13" t="n">
        <v>4498772</v>
      </c>
      <c r="F12" s="13" t="n">
        <v>8838141</v>
      </c>
    </row>
    <row r="13">
      <c r="A13" s="10" t="n">
        <v>11</v>
      </c>
      <c r="B13" s="11" t="n">
        <v>8838141</v>
      </c>
      <c r="C13" s="11" t="n">
        <v>106058</v>
      </c>
      <c r="D13" s="11" t="n">
        <v>4392714</v>
      </c>
      <c r="E13" s="11" t="n">
        <v>4498772</v>
      </c>
      <c r="F13" s="11" t="n">
        <v>4445427</v>
      </c>
    </row>
    <row r="14">
      <c r="A14" s="12" t="n">
        <v>12</v>
      </c>
      <c r="B14" s="13" t="n">
        <v>4445427</v>
      </c>
      <c r="C14" s="13" t="n">
        <v>53345</v>
      </c>
      <c r="D14" s="13" t="n">
        <v>4445427</v>
      </c>
      <c r="E14" s="13" t="n">
        <v>4498772</v>
      </c>
      <c r="F14" s="13" t="n">
        <v>0</v>
      </c>
    </row>
    <row r="16">
      <c r="A16" s="6" t="inlineStr">
        <is>
          <t>TOTALES</t>
        </is>
      </c>
      <c r="C16" s="14">
        <f>SUM(C3:C14)</f>
        <v/>
      </c>
      <c r="D16" s="14">
        <f>SUM(D3:D14)</f>
        <v/>
      </c>
      <c r="E16" s="14">
        <f>SUM(E3:E14)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25" customWidth="1" min="3" max="3"/>
  </cols>
  <sheetData>
    <row r="1">
      <c r="A1" s="1" t="inlineStr">
        <is>
          <t>FUNCIONES DE TEXTO — CASOS PRÁCTICOS</t>
        </is>
      </c>
    </row>
    <row r="3">
      <c r="A3" s="15" t="inlineStr">
        <is>
          <t>DATO ORIGINAL</t>
        </is>
      </c>
      <c r="B3" s="15" t="inlineStr">
        <is>
          <t>FUNCIÓN</t>
        </is>
      </c>
      <c r="C3" s="15" t="inlineStr">
        <is>
          <t>RESULTADO</t>
        </is>
      </c>
    </row>
    <row r="4">
      <c r="A4" t="inlineStr">
        <is>
          <t xml:space="preserve">  juan garcia  </t>
        </is>
      </c>
      <c r="B4" s="16">
        <f>NOMPROPIO(ESPACIOS(A4))</f>
        <v/>
      </c>
      <c r="C4" t="inlineStr"/>
    </row>
    <row r="5">
      <c r="A5" t="inlineStr">
        <is>
          <t>juan.garcia@empresa.com</t>
        </is>
      </c>
      <c r="B5" s="16">
        <f>IZQUIERDA(A5,ENCONTRAR("@",A5)-1)</f>
        <v/>
      </c>
      <c r="C5" t="inlineStr"/>
    </row>
    <row r="6">
      <c r="A6" t="inlineStr">
        <is>
          <t>CARLOS MARTINEZ PEREZ</t>
        </is>
      </c>
      <c r="B6" s="16">
        <f>EXTRAE(A6,8,8)</f>
        <v/>
      </c>
      <c r="C6" t="inlineStr"/>
    </row>
    <row r="7">
      <c r="A7" t="inlineStr">
        <is>
          <t>Factura N° 2025-001</t>
        </is>
      </c>
      <c r="B7" s="16">
        <f>SUSTITUIR(A7,"°","No.")</f>
        <v/>
      </c>
      <c r="C7" t="inlineStr"/>
    </row>
    <row r="8">
      <c r="A8" t="inlineStr">
        <is>
          <t>Barranquilla,Colombia,Atlántico</t>
        </is>
      </c>
      <c r="B8" s="16">
        <f>IZQUIERDA(A8,ENCONTRAR(",",A8)-1)</f>
        <v/>
      </c>
      <c r="C8" t="inlineStr"/>
    </row>
    <row r="9">
      <c r="A9" t="inlineStr">
        <is>
          <t>3001234567</t>
        </is>
      </c>
      <c r="B9" s="16">
        <f>CONCATENAR("(",IZQUIERDA(A9,3),") ",EXTRAE(A9,4,3),"-",DERECHA(A9,4))</f>
        <v/>
      </c>
      <c r="C9" t="inlineStr"/>
    </row>
    <row r="10">
      <c r="A10" t="inlineStr">
        <is>
          <t>precio: 125000 pesos</t>
        </is>
      </c>
      <c r="B10" s="16">
        <f>VALOR(EXTRAE(A10,9,6))</f>
        <v/>
      </c>
      <c r="C10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7" t="inlineStr">
        <is>
          <t>ACTIVIDAD PRÁCTICA — DÍA 3: Funciones Financieras, Texto y Matriciales</t>
        </is>
      </c>
    </row>
    <row r="2">
      <c r="A2" s="18" t="inlineStr"/>
    </row>
    <row r="3">
      <c r="A3" s="19" t="inlineStr">
        <is>
          <t>PARTE 1 — SIMULACIÓN DE CRÉDITO (20 min)</t>
        </is>
      </c>
    </row>
    <row r="4">
      <c r="A4" s="18" t="inlineStr">
        <is>
          <t>1. Ve a la hoja "Funciones_Financieras"</t>
        </is>
      </c>
    </row>
    <row r="5">
      <c r="A5" s="18" t="inlineStr">
        <is>
          <t>2. Cambia el monto a $80,000,000 y 48 cuotas — ¿cuánto sería la cuota?</t>
        </is>
      </c>
    </row>
    <row r="6">
      <c r="A6" s="18" t="inlineStr">
        <is>
          <t>3. ¿A qué tasa quedaría una cuota de $2,500,000 para ese mismo crédito? (usa TASA)</t>
        </is>
      </c>
    </row>
    <row r="7">
      <c r="A7" s="18" t="inlineStr">
        <is>
          <t>4. Crea tu propio escenario: ¿cuánto necesitas ahorrar por mes para tener $20M en 3 años?</t>
        </is>
      </c>
    </row>
    <row r="8">
      <c r="A8" s="18" t="inlineStr"/>
    </row>
    <row r="9">
      <c r="A9" s="19" t="inlineStr">
        <is>
          <t>PARTE 2 — TEXTO Y DATOS (15 min)</t>
        </is>
      </c>
    </row>
    <row r="10">
      <c r="A10" s="18" t="inlineStr">
        <is>
          <t>1. En la hoja "Funciones_Texto", revisa cada fórmula en la columna B</t>
        </is>
      </c>
    </row>
    <row r="11">
      <c r="A11" s="18" t="inlineStr">
        <is>
          <t>2. En la columna C escribe el resultado esperado ANTES de ver la fórmula</t>
        </is>
      </c>
    </row>
    <row r="12">
      <c r="A12" s="18" t="inlineStr">
        <is>
          <t>3. Crea 3 filas adicionales con tus propios ejemplos de datos "sucios"</t>
        </is>
      </c>
    </row>
    <row r="13">
      <c r="A13" s="18" t="inlineStr"/>
    </row>
    <row r="14">
      <c r="A14" s="19" t="inlineStr">
        <is>
          <t>PARTE 3 — TABLA DE AMORTIZACIÓN (25 min)</t>
        </is>
      </c>
    </row>
    <row r="15">
      <c r="A15" s="18" t="inlineStr">
        <is>
          <t>1. Ve a la hoja "Tabla_Amortizacion"</t>
        </is>
      </c>
    </row>
    <row r="16">
      <c r="A16" s="18" t="inlineStr">
        <is>
          <t>2. Verifica que la suma de ABONO_CAPITAL sea igual al monto original</t>
        </is>
      </c>
    </row>
    <row r="17">
      <c r="A17" s="18" t="inlineStr">
        <is>
          <t>3. Crea una tabla idéntica pero para 24 meses en una nueva hoja</t>
        </is>
      </c>
    </row>
    <row r="18">
      <c r="A18" s="18" t="inlineStr">
        <is>
          <t>4. ¿Cuánto más en intereses se paga en 24 meses vs 12 meses?</t>
        </is>
      </c>
    </row>
    <row r="19">
      <c r="A19" s="18" t="inlineStr"/>
    </row>
    <row r="20">
      <c r="A20" s="20" t="inlineStr">
        <is>
          <t>Guarda como: Actividad_D3_TuNombre.xlsx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2026-06-18T23:11:53Z</dcterms:created>
  <dcterms:modified xmlns:dcterms="http://purl.org/dc/terms/" xmlns:xsi="http://www.w3.org/2001/XMLSchema-instance" xsi:type="dcterms:W3CDTF">2026-06-18T23:11:53Z</dcterms:modified>
</cp:coreProperties>
</file>