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o_Productos" sheetId="1" state="visible" r:id="rId1"/>
    <sheet xmlns:r="http://schemas.openxmlformats.org/officeDocument/2006/relationships" name="Facturas_Ventas" sheetId="2" state="visible" r:id="rId2"/>
    <sheet xmlns:r="http://schemas.openxmlformats.org/officeDocument/2006/relationships" name="GUIA_ACTIVIDAD" sheetId="3" state="visible" r:id="rId3"/>
  </sheets>
  <definedNames>
    <definedName name="_xlnm._FilterDatabase" localSheetId="0" hidden="1">'Catalogo_Productos'!$A$2:$F$2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12">
    <font>
      <name val="Calibri"/>
      <family val="2"/>
      <color theme="1"/>
      <sz val="11"/>
      <scheme val="minor"/>
    </font>
    <font>
      <b val="1"/>
      <color rgb="001AB87A"/>
      <sz val="12"/>
    </font>
    <font>
      <b val="1"/>
      <color rgb="00FFFFFF"/>
      <sz val="10"/>
    </font>
    <font>
      <b val="1"/>
      <color rgb="007C6FF0"/>
      <sz val="12"/>
    </font>
    <font>
      <b val="1"/>
    </font>
    <font>
      <b val="1"/>
      <color rgb="001AB87A"/>
    </font>
    <font>
      <b val="1"/>
      <color rgb="001AB87A"/>
      <sz val="14"/>
    </font>
    <font>
      <color rgb="00000000"/>
      <sz val="10"/>
    </font>
    <font>
      <b val="1"/>
      <color rgb="00333333"/>
      <sz val="11"/>
    </font>
    <font>
      <color rgb="000070C0"/>
      <sz val="10"/>
    </font>
    <font>
      <b val="1"/>
      <color rgb="00C00000"/>
      <sz val="11"/>
    </font>
    <font>
      <color rgb="007030A0"/>
      <sz val="10"/>
    </font>
  </fonts>
  <fills count="6">
    <fill>
      <patternFill/>
    </fill>
    <fill>
      <patternFill patternType="gray125"/>
    </fill>
    <fill>
      <patternFill patternType="solid">
        <fgColor rgb="001AB87A"/>
      </patternFill>
    </fill>
    <fill>
      <patternFill patternType="solid">
        <fgColor rgb="00FFFFFF"/>
      </patternFill>
    </fill>
    <fill>
      <patternFill patternType="solid">
        <fgColor rgb="00F2F7FF"/>
      </patternFill>
    </fill>
    <fill>
      <patternFill patternType="solid">
        <fgColor rgb="007C6F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0" fontId="3" fillId="0" borderId="0" pivotButton="0" quotePrefix="0" xfId="0"/>
    <xf numFmtId="0" fontId="2" fillId="5" borderId="1" applyAlignment="1" pivotButton="0" quotePrefix="0" xfId="0">
      <alignment horizontal="center" vertical="center"/>
    </xf>
    <xf numFmtId="0" fontId="4" fillId="0" borderId="0" pivotButton="0" quotePrefix="0" xfId="0"/>
    <xf numFmtId="164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4" customWidth="1" min="4" max="4"/>
    <col width="10" customWidth="1" min="5" max="5"/>
    <col width="22" customWidth="1" min="6" max="6"/>
  </cols>
  <sheetData>
    <row r="1">
      <c r="A1" s="1" t="inlineStr">
        <is>
          <t>BASE DE DATOS — CATÁLOGO DE PRODUCTOS — ADMIN CARIBE S.A.S.</t>
        </is>
      </c>
    </row>
    <row r="2">
      <c r="A2" s="2" t="inlineStr">
        <is>
          <t>COD_PRODUCTO</t>
        </is>
      </c>
      <c r="B2" s="2" t="inlineStr">
        <is>
          <t>NOMBRE_PRODUCTO</t>
        </is>
      </c>
      <c r="C2" s="2" t="inlineStr">
        <is>
          <t>CATEGORIA</t>
        </is>
      </c>
      <c r="D2" s="2" t="inlineStr">
        <is>
          <t>PRECIO_UNIT</t>
        </is>
      </c>
      <c r="E2" s="2" t="inlineStr">
        <is>
          <t>STOCK</t>
        </is>
      </c>
      <c r="F2" s="2" t="inlineStr">
        <is>
          <t>PROVEEDOR</t>
        </is>
      </c>
    </row>
    <row r="3">
      <c r="A3" s="3" t="inlineStr">
        <is>
          <t>P001</t>
        </is>
      </c>
      <c r="B3" s="3" t="inlineStr">
        <is>
          <t>Resma de Papel Carta</t>
        </is>
      </c>
      <c r="C3" s="3" t="inlineStr">
        <is>
          <t>Papelería</t>
        </is>
      </c>
      <c r="D3" s="4" t="n">
        <v>18500</v>
      </c>
      <c r="E3" s="3" t="n">
        <v>150</v>
      </c>
      <c r="F3" s="3" t="inlineStr">
        <is>
          <t>Papelería Sur</t>
        </is>
      </c>
    </row>
    <row r="4">
      <c r="A4" s="5" t="inlineStr">
        <is>
          <t>P002</t>
        </is>
      </c>
      <c r="B4" s="5" t="inlineStr">
        <is>
          <t>Bolígrafo Azul x12</t>
        </is>
      </c>
      <c r="C4" s="5" t="inlineStr">
        <is>
          <t>Papelería</t>
        </is>
      </c>
      <c r="D4" s="6" t="n">
        <v>12000</v>
      </c>
      <c r="E4" s="5" t="n">
        <v>300</v>
      </c>
      <c r="F4" s="5" t="inlineStr">
        <is>
          <t>Distribuidora Norte</t>
        </is>
      </c>
    </row>
    <row r="5">
      <c r="A5" s="3" t="inlineStr">
        <is>
          <t>P003</t>
        </is>
      </c>
      <c r="B5" s="3" t="inlineStr">
        <is>
          <t>Carpeta AZ Oficio</t>
        </is>
      </c>
      <c r="C5" s="3" t="inlineStr">
        <is>
          <t>Archivos</t>
        </is>
      </c>
      <c r="D5" s="4" t="n">
        <v>8500</v>
      </c>
      <c r="E5" s="3" t="n">
        <v>200</v>
      </c>
      <c r="F5" s="3" t="inlineStr">
        <is>
          <t>Papelería Sur</t>
        </is>
      </c>
    </row>
    <row r="6">
      <c r="A6" s="5" t="inlineStr">
        <is>
          <t>P004</t>
        </is>
      </c>
      <c r="B6" s="5" t="inlineStr">
        <is>
          <t>Tóner HP LaserJet</t>
        </is>
      </c>
      <c r="C6" s="5" t="inlineStr">
        <is>
          <t>Tecnología</t>
        </is>
      </c>
      <c r="D6" s="6" t="n">
        <v>185000</v>
      </c>
      <c r="E6" s="5" t="n">
        <v>40</v>
      </c>
      <c r="F6" s="5" t="inlineStr">
        <is>
          <t>Tech Soluciones</t>
        </is>
      </c>
    </row>
    <row r="7">
      <c r="A7" s="3" t="inlineStr">
        <is>
          <t>P005</t>
        </is>
      </c>
      <c r="B7" s="3" t="inlineStr">
        <is>
          <t>Memoria USB 32GB</t>
        </is>
      </c>
      <c r="C7" s="3" t="inlineStr">
        <is>
          <t>Tecnología</t>
        </is>
      </c>
      <c r="D7" s="4" t="n">
        <v>35000</v>
      </c>
      <c r="E7" s="3" t="n">
        <v>80</v>
      </c>
      <c r="F7" s="3" t="inlineStr">
        <is>
          <t>Tech Soluciones</t>
        </is>
      </c>
    </row>
    <row r="8">
      <c r="A8" s="5" t="inlineStr">
        <is>
          <t>P006</t>
        </is>
      </c>
      <c r="B8" s="5" t="inlineStr">
        <is>
          <t>Sello Automático</t>
        </is>
      </c>
      <c r="C8" s="5" t="inlineStr">
        <is>
          <t>Oficina</t>
        </is>
      </c>
      <c r="D8" s="6" t="n">
        <v>45000</v>
      </c>
      <c r="E8" s="5" t="n">
        <v>25</v>
      </c>
      <c r="F8" s="5" t="inlineStr">
        <is>
          <t>Distribuidora Norte</t>
        </is>
      </c>
    </row>
    <row r="9">
      <c r="A9" s="3" t="inlineStr">
        <is>
          <t>P007</t>
        </is>
      </c>
      <c r="B9" s="3" t="inlineStr">
        <is>
          <t>Folder Manila x50</t>
        </is>
      </c>
      <c r="C9" s="3" t="inlineStr">
        <is>
          <t>Papelería</t>
        </is>
      </c>
      <c r="D9" s="4" t="n">
        <v>22000</v>
      </c>
      <c r="E9" s="3" t="n">
        <v>120</v>
      </c>
      <c r="F9" s="3" t="inlineStr">
        <is>
          <t>Papelería Sur</t>
        </is>
      </c>
    </row>
    <row r="10">
      <c r="A10" s="5" t="inlineStr">
        <is>
          <t>P008</t>
        </is>
      </c>
      <c r="B10" s="5" t="inlineStr">
        <is>
          <t>Calculadora Científica</t>
        </is>
      </c>
      <c r="C10" s="5" t="inlineStr">
        <is>
          <t>Oficina</t>
        </is>
      </c>
      <c r="D10" s="6" t="n">
        <v>95000</v>
      </c>
      <c r="E10" s="5" t="n">
        <v>30</v>
      </c>
      <c r="F10" s="5" t="inlineStr">
        <is>
          <t>Tech Soluciones</t>
        </is>
      </c>
    </row>
    <row r="11">
      <c r="A11" s="3" t="inlineStr">
        <is>
          <t>P009</t>
        </is>
      </c>
      <c r="B11" s="3" t="inlineStr">
        <is>
          <t>Resaltador x5 colores</t>
        </is>
      </c>
      <c r="C11" s="3" t="inlineStr">
        <is>
          <t>Papelería</t>
        </is>
      </c>
      <c r="D11" s="4" t="n">
        <v>9500</v>
      </c>
      <c r="E11" s="3" t="n">
        <v>250</v>
      </c>
      <c r="F11" s="3" t="inlineStr">
        <is>
          <t>Distribuidora Norte</t>
        </is>
      </c>
    </row>
    <row r="12">
      <c r="A12" s="5" t="inlineStr">
        <is>
          <t>P010</t>
        </is>
      </c>
      <c r="B12" s="5" t="inlineStr">
        <is>
          <t>Block Cuadriculado</t>
        </is>
      </c>
      <c r="C12" s="5" t="inlineStr">
        <is>
          <t>Papelería</t>
        </is>
      </c>
      <c r="D12" s="6" t="n">
        <v>5500</v>
      </c>
      <c r="E12" s="5" t="n">
        <v>400</v>
      </c>
      <c r="F12" s="5" t="inlineStr">
        <is>
          <t>Papelería Sur</t>
        </is>
      </c>
    </row>
    <row r="13">
      <c r="A13" s="3" t="inlineStr">
        <is>
          <t>P011</t>
        </is>
      </c>
      <c r="B13" s="3" t="inlineStr">
        <is>
          <t>Tijeras Oficina</t>
        </is>
      </c>
      <c r="C13" s="3" t="inlineStr">
        <is>
          <t>Herramientas</t>
        </is>
      </c>
      <c r="D13" s="4" t="n">
        <v>12500</v>
      </c>
      <c r="E13" s="3" t="n">
        <v>60</v>
      </c>
      <c r="F13" s="3" t="inlineStr">
        <is>
          <t>Distribuidora Norte</t>
        </is>
      </c>
    </row>
    <row r="14">
      <c r="A14" s="5" t="inlineStr">
        <is>
          <t>P012</t>
        </is>
      </c>
      <c r="B14" s="5" t="inlineStr">
        <is>
          <t>Grapadora Metálica</t>
        </is>
      </c>
      <c r="C14" s="5" t="inlineStr">
        <is>
          <t>Herramientas</t>
        </is>
      </c>
      <c r="D14" s="6" t="n">
        <v>38000</v>
      </c>
      <c r="E14" s="5" t="n">
        <v>45</v>
      </c>
      <c r="F14" s="5" t="inlineStr">
        <is>
          <t>Papelería Sur</t>
        </is>
      </c>
    </row>
    <row r="15">
      <c r="A15" s="3" t="inlineStr">
        <is>
          <t>P013</t>
        </is>
      </c>
      <c r="B15" s="3" t="inlineStr">
        <is>
          <t>Perforadora 2 huecos</t>
        </is>
      </c>
      <c r="C15" s="3" t="inlineStr">
        <is>
          <t>Herramientas</t>
        </is>
      </c>
      <c r="D15" s="4" t="n">
        <v>28000</v>
      </c>
      <c r="E15" s="3" t="n">
        <v>55</v>
      </c>
      <c r="F15" s="3" t="inlineStr">
        <is>
          <t>Distribuidora Norte</t>
        </is>
      </c>
    </row>
    <row r="16">
      <c r="A16" s="5" t="inlineStr">
        <is>
          <t>P014</t>
        </is>
      </c>
      <c r="B16" s="5" t="inlineStr">
        <is>
          <t>Rotuladores x8</t>
        </is>
      </c>
      <c r="C16" s="5" t="inlineStr">
        <is>
          <t>Papelería</t>
        </is>
      </c>
      <c r="D16" s="6" t="n">
        <v>18000</v>
      </c>
      <c r="E16" s="5" t="n">
        <v>180</v>
      </c>
      <c r="F16" s="5" t="inlineStr">
        <is>
          <t>Papelería Sur</t>
        </is>
      </c>
    </row>
    <row r="17">
      <c r="A17" s="3" t="inlineStr">
        <is>
          <t>P015</t>
        </is>
      </c>
      <c r="B17" s="3" t="inlineStr">
        <is>
          <t>Archivador Vertical</t>
        </is>
      </c>
      <c r="C17" s="3" t="inlineStr">
        <is>
          <t>Archivos</t>
        </is>
      </c>
      <c r="D17" s="4" t="n">
        <v>125000</v>
      </c>
      <c r="E17" s="3" t="n">
        <v>20</v>
      </c>
      <c r="F17" s="3" t="inlineStr">
        <is>
          <t>Muebles Caribe</t>
        </is>
      </c>
    </row>
  </sheetData>
  <autoFilter ref="A2:F2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4" customWidth="1" min="3" max="3"/>
    <col width="28" customWidth="1" min="4" max="4"/>
    <col width="8" customWidth="1" min="5" max="5"/>
    <col width="14" customWidth="1" min="6" max="6"/>
    <col width="14" customWidth="1" min="7" max="7"/>
  </cols>
  <sheetData>
    <row r="1">
      <c r="A1" s="7" t="inlineStr">
        <is>
          <t>REGISTRO DE VENTAS — PRÁCTICA BUSCARV</t>
        </is>
      </c>
    </row>
    <row r="2">
      <c r="A2" s="8" t="inlineStr">
        <is>
          <t>NRO_FACTURA</t>
        </is>
      </c>
      <c r="B2" s="8" t="inlineStr">
        <is>
          <t>FECHA</t>
        </is>
      </c>
      <c r="C2" s="8" t="inlineStr">
        <is>
          <t>COD_PRODUCTO</t>
        </is>
      </c>
      <c r="D2" s="8" t="inlineStr">
        <is>
          <t>NOMBRE_PRODUCTO</t>
        </is>
      </c>
      <c r="E2" s="8" t="inlineStr">
        <is>
          <t>CANT</t>
        </is>
      </c>
      <c r="F2" s="8" t="inlineStr">
        <is>
          <t>PRECIO_UNIT</t>
        </is>
      </c>
      <c r="G2" s="8" t="inlineStr">
        <is>
          <t>TOTAL</t>
        </is>
      </c>
    </row>
    <row r="3">
      <c r="A3" s="3" t="inlineStr">
        <is>
          <t>F-2025-001</t>
        </is>
      </c>
      <c r="B3" s="3" t="inlineStr">
        <is>
          <t>2025-01-05</t>
        </is>
      </c>
      <c r="C3" s="3" t="inlineStr">
        <is>
          <t>P001</t>
        </is>
      </c>
      <c r="D3" s="3">
        <f>IFERROR(BUSCARV(C3,Catalogo_Productos!$A:$B,2,0),"No encontrado")</f>
        <v/>
      </c>
      <c r="E3" s="3" t="n">
        <v>2</v>
      </c>
      <c r="F3" s="4">
        <f>IFERROR(BUSCARV(C3,Catalogo_Productos!$A:$D,4,0),0)</f>
        <v/>
      </c>
      <c r="G3" s="4">
        <f>E3*F3</f>
        <v/>
      </c>
    </row>
    <row r="4">
      <c r="A4" s="5" t="inlineStr">
        <is>
          <t>F-2025-002</t>
        </is>
      </c>
      <c r="B4" s="5" t="inlineStr">
        <is>
          <t>2025-01-08</t>
        </is>
      </c>
      <c r="C4" s="5" t="inlineStr">
        <is>
          <t>P004</t>
        </is>
      </c>
      <c r="D4" s="5">
        <f>IFERROR(BUSCARV(C4,Catalogo_Productos!$A:$B,2,0),"No encontrado")</f>
        <v/>
      </c>
      <c r="E4" s="5" t="n">
        <v>7</v>
      </c>
      <c r="F4" s="6">
        <f>IFERROR(BUSCARV(C4,Catalogo_Productos!$A:$D,4,0),0)</f>
        <v/>
      </c>
      <c r="G4" s="6">
        <f>E4*F4</f>
        <v/>
      </c>
    </row>
    <row r="5">
      <c r="A5" s="3" t="inlineStr">
        <is>
          <t>F-2025-003</t>
        </is>
      </c>
      <c r="B5" s="3" t="inlineStr">
        <is>
          <t>2025-01-10</t>
        </is>
      </c>
      <c r="C5" s="3" t="inlineStr">
        <is>
          <t>P002</t>
        </is>
      </c>
      <c r="D5" s="3">
        <f>IFERROR(BUSCARV(C5,Catalogo_Productos!$A:$B,2,0),"No encontrado")</f>
        <v/>
      </c>
      <c r="E5" s="3" t="n">
        <v>7</v>
      </c>
      <c r="F5" s="4">
        <f>IFERROR(BUSCARV(C5,Catalogo_Productos!$A:$D,4,0),0)</f>
        <v/>
      </c>
      <c r="G5" s="4">
        <f>E5*F5</f>
        <v/>
      </c>
    </row>
    <row r="6">
      <c r="A6" s="5" t="inlineStr">
        <is>
          <t>F-2025-004</t>
        </is>
      </c>
      <c r="B6" s="5" t="inlineStr">
        <is>
          <t>2025-01-15</t>
        </is>
      </c>
      <c r="C6" s="5" t="inlineStr">
        <is>
          <t>P007</t>
        </is>
      </c>
      <c r="D6" s="5">
        <f>IFERROR(BUSCARV(C6,Catalogo_Productos!$A:$B,2,0),"No encontrado")</f>
        <v/>
      </c>
      <c r="E6" s="5" t="n">
        <v>2</v>
      </c>
      <c r="F6" s="6">
        <f>IFERROR(BUSCARV(C6,Catalogo_Productos!$A:$D,4,0),0)</f>
        <v/>
      </c>
      <c r="G6" s="6">
        <f>E6*F6</f>
        <v/>
      </c>
    </row>
    <row r="7">
      <c r="A7" s="3" t="inlineStr">
        <is>
          <t>F-2025-005</t>
        </is>
      </c>
      <c r="B7" s="3" t="inlineStr">
        <is>
          <t>2025-01-18</t>
        </is>
      </c>
      <c r="C7" s="3" t="inlineStr">
        <is>
          <t>P009</t>
        </is>
      </c>
      <c r="D7" s="3">
        <f>IFERROR(BUSCARV(C7,Catalogo_Productos!$A:$B,2,0),"No encontrado")</f>
        <v/>
      </c>
      <c r="E7" s="3" t="n">
        <v>5</v>
      </c>
      <c r="F7" s="4">
        <f>IFERROR(BUSCARV(C7,Catalogo_Productos!$A:$D,4,0),0)</f>
        <v/>
      </c>
      <c r="G7" s="4">
        <f>E7*F7</f>
        <v/>
      </c>
    </row>
    <row r="8">
      <c r="A8" s="5" t="inlineStr">
        <is>
          <t>F-2025-006</t>
        </is>
      </c>
      <c r="B8" s="5" t="inlineStr">
        <is>
          <t>2025-01-22</t>
        </is>
      </c>
      <c r="C8" s="5" t="inlineStr">
        <is>
          <t>P005</t>
        </is>
      </c>
      <c r="D8" s="5">
        <f>IFERROR(BUSCARV(C8,Catalogo_Productos!$A:$B,2,0),"No encontrado")</f>
        <v/>
      </c>
      <c r="E8" s="5" t="n">
        <v>3</v>
      </c>
      <c r="F8" s="6">
        <f>IFERROR(BUSCARV(C8,Catalogo_Productos!$A:$D,4,0),0)</f>
        <v/>
      </c>
      <c r="G8" s="6">
        <f>E8*F8</f>
        <v/>
      </c>
    </row>
    <row r="9">
      <c r="A9" s="3" t="inlineStr">
        <is>
          <t>F-2025-007</t>
        </is>
      </c>
      <c r="B9" s="3" t="inlineStr">
        <is>
          <t>2025-01-25</t>
        </is>
      </c>
      <c r="C9" s="3" t="inlineStr">
        <is>
          <t>P012</t>
        </is>
      </c>
      <c r="D9" s="3">
        <f>IFERROR(BUSCARV(C9,Catalogo_Productos!$A:$B,2,0),"No encontrado")</f>
        <v/>
      </c>
      <c r="E9" s="3" t="n">
        <v>7</v>
      </c>
      <c r="F9" s="4">
        <f>IFERROR(BUSCARV(C9,Catalogo_Productos!$A:$D,4,0),0)</f>
        <v/>
      </c>
      <c r="G9" s="4">
        <f>E9*F9</f>
        <v/>
      </c>
    </row>
    <row r="10">
      <c r="A10" s="5" t="inlineStr">
        <is>
          <t>F-2025-008</t>
        </is>
      </c>
      <c r="B10" s="5" t="inlineStr">
        <is>
          <t>2025-02-01</t>
        </is>
      </c>
      <c r="C10" s="5" t="inlineStr">
        <is>
          <t>P003</t>
        </is>
      </c>
      <c r="D10" s="5">
        <f>IFERROR(BUSCARV(C10,Catalogo_Productos!$A:$B,2,0),"No encontrado")</f>
        <v/>
      </c>
      <c r="E10" s="5" t="n">
        <v>2</v>
      </c>
      <c r="F10" s="6">
        <f>IFERROR(BUSCARV(C10,Catalogo_Productos!$A:$D,4,0),0)</f>
        <v/>
      </c>
      <c r="G10" s="6">
        <f>E10*F10</f>
        <v/>
      </c>
    </row>
    <row r="11">
      <c r="A11" s="3" t="inlineStr">
        <is>
          <t>F-2025-009</t>
        </is>
      </c>
      <c r="B11" s="3" t="inlineStr">
        <is>
          <t>2025-02-05</t>
        </is>
      </c>
      <c r="C11" s="3" t="inlineStr">
        <is>
          <t>P008</t>
        </is>
      </c>
      <c r="D11" s="3">
        <f>IFERROR(BUSCARV(C11,Catalogo_Productos!$A:$B,2,0),"No encontrado")</f>
        <v/>
      </c>
      <c r="E11" s="3" t="n">
        <v>4</v>
      </c>
      <c r="F11" s="4">
        <f>IFERROR(BUSCARV(C11,Catalogo_Productos!$A:$D,4,0),0)</f>
        <v/>
      </c>
      <c r="G11" s="4">
        <f>E11*F11</f>
        <v/>
      </c>
    </row>
    <row r="12">
      <c r="A12" s="5" t="inlineStr">
        <is>
          <t>F-2025-010</t>
        </is>
      </c>
      <c r="B12" s="5" t="inlineStr">
        <is>
          <t>2025-02-10</t>
        </is>
      </c>
      <c r="C12" s="5" t="inlineStr">
        <is>
          <t>P010</t>
        </is>
      </c>
      <c r="D12" s="5">
        <f>IFERROR(BUSCARV(C12,Catalogo_Productos!$A:$B,2,0),"No encontrado")</f>
        <v/>
      </c>
      <c r="E12" s="5" t="n">
        <v>5</v>
      </c>
      <c r="F12" s="6">
        <f>IFERROR(BUSCARV(C12,Catalogo_Productos!$A:$D,4,0),0)</f>
        <v/>
      </c>
      <c r="G12" s="6">
        <f>E12*F12</f>
        <v/>
      </c>
    </row>
    <row r="14">
      <c r="F14" s="9" t="inlineStr">
        <is>
          <t>TOTAL VENTAS:</t>
        </is>
      </c>
      <c r="G14" s="10">
        <f>SUM(G3:G13)</f>
        <v/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1" t="inlineStr">
        <is>
          <t>ACTIVIDAD PRÁCTICA — DÍA 1: BUSCARV y BUSCARH</t>
        </is>
      </c>
    </row>
    <row r="2">
      <c r="A2" s="12" t="inlineStr"/>
    </row>
    <row r="3">
      <c r="A3" s="13" t="inlineStr">
        <is>
          <t>OBJETIVO:</t>
        </is>
      </c>
    </row>
    <row r="4">
      <c r="A4" s="12" t="inlineStr">
        <is>
          <t>Usar BUSCARV para traer automáticamente datos del catálogo a la hoja de facturas.</t>
        </is>
      </c>
    </row>
    <row r="5">
      <c r="A5" s="12" t="inlineStr"/>
    </row>
    <row r="6">
      <c r="A6" s="13" t="inlineStr">
        <is>
          <t>PASOS:</t>
        </is>
      </c>
    </row>
    <row r="7">
      <c r="A7" s="12" t="inlineStr">
        <is>
          <t>1. Ve a la hoja "Facturas_Ventas"</t>
        </is>
      </c>
    </row>
    <row r="8">
      <c r="A8" s="12" t="inlineStr">
        <is>
          <t>2. En la columna D (Nombre_Producto), la fórmula ya está puesta como ejemplo en D3.</t>
        </is>
      </c>
    </row>
    <row r="9">
      <c r="A9" s="14" t="inlineStr">
        <is>
          <t xml:space="preserve">   Revísala: =IFERROR(BUSCARV(C3,Catalogo_Productos!$A:$B,2,0),"No encontrado")</t>
        </is>
      </c>
    </row>
    <row r="10">
      <c r="A10" s="12" t="inlineStr">
        <is>
          <t>3. En la columna F (Precio_Unit), la fórmula busca en la columna 4 del catálogo.</t>
        </is>
      </c>
    </row>
    <row r="11">
      <c r="A11" s="12" t="inlineStr">
        <is>
          <t>4. Verifica que los totales (columna G) calculen correctamente.</t>
        </is>
      </c>
    </row>
    <row r="12">
      <c r="A12" s="12" t="inlineStr"/>
    </row>
    <row r="13">
      <c r="A13" s="15" t="inlineStr">
        <is>
          <t>RETO ADICIONAL (si terminas rápido):</t>
        </is>
      </c>
    </row>
    <row r="14">
      <c r="A14" s="12" t="inlineStr">
        <is>
          <t>- Crea una hoja "BUSCARH_Prueba" con la tabla de precios en horizontal (por fila)</t>
        </is>
      </c>
    </row>
    <row r="15">
      <c r="A15" s="12" t="inlineStr">
        <is>
          <t>- Usa BUSCARH para buscar el precio de un producto por su código</t>
        </is>
      </c>
    </row>
    <row r="16">
      <c r="A16" s="12" t="inlineStr">
        <is>
          <t>- ¿Cuándo conviene usar BUSCARH vs BUSCARV?</t>
        </is>
      </c>
    </row>
    <row r="17">
      <c r="A17" s="12" t="inlineStr"/>
    </row>
    <row r="18">
      <c r="A18" s="13" t="inlineStr">
        <is>
          <t>ENTREGABLE:</t>
        </is>
      </c>
    </row>
    <row r="19">
      <c r="A19" s="12" t="inlineStr">
        <is>
          <t>Hoja "Facturas_Ventas" con todas las fórmulas funcionando y el total calculado.</t>
        </is>
      </c>
    </row>
    <row r="20">
      <c r="A20" s="16" t="inlineStr">
        <is>
          <t>Guarda como: Actividad_D1_TuNombre.xlsx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2026-06-18T23:11:53Z</dcterms:created>
  <dcterms:modified xmlns:dcterms="http://purl.org/dc/terms/" xmlns:xsi="http://www.w3.org/2001/XMLSchema-instance" xsi:type="dcterms:W3CDTF">2026-06-18T23:11:53Z</dcterms:modified>
</cp:coreProperties>
</file>