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Dashboard" sheetId="1" state="visible" r:id="rId1"/>
    <sheet xmlns:r="http://schemas.openxmlformats.org/officeDocument/2006/relationships" name="KPIs_Dashboard" sheetId="2" state="visible" r:id="rId2"/>
    <sheet xmlns:r="http://schemas.openxmlformats.org/officeDocument/2006/relationships" name="GUIA_ACTIV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4ADE80"/>
      <sz val="12"/>
    </font>
    <font>
      <b val="1"/>
      <color rgb="00002000"/>
      <sz val="10"/>
    </font>
    <font>
      <b val="1"/>
      <color rgb="00276221"/>
    </font>
    <font>
      <b val="1"/>
      <color rgb="009C6500"/>
    </font>
    <font>
      <b val="1"/>
    </font>
    <font>
      <b val="1"/>
      <color rgb="004ADE80"/>
    </font>
    <font>
      <b val="1"/>
      <color rgb="004ADE80"/>
      <sz val="14"/>
    </font>
    <font>
      <b val="1"/>
      <sz val="10"/>
    </font>
    <font>
      <color rgb="00000000"/>
      <sz val="10"/>
    </font>
    <font>
      <b val="1"/>
      <color rgb="00333333"/>
      <sz val="11"/>
    </font>
    <font>
      <color rgb="000070C0"/>
      <sz val="10"/>
    </font>
    <font>
      <color rgb="007030A0"/>
      <sz val="10"/>
    </font>
  </fonts>
  <fills count="7">
    <fill>
      <patternFill/>
    </fill>
    <fill>
      <patternFill patternType="gray125"/>
    </fill>
    <fill>
      <patternFill patternType="solid">
        <fgColor rgb="004ADE80"/>
      </patternFill>
    </fill>
    <fill>
      <patternFill patternType="solid">
        <fgColor rgb="00C6EFCE"/>
      </patternFill>
    </fill>
    <fill>
      <patternFill patternType="solid">
        <fgColor rgb="00E6FFE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3" fillId="3" borderId="0" pivotButton="0" quotePrefix="0" xfId="0"/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4" fillId="5" borderId="0" pivotButton="0" quotePrefix="0" xfId="0"/>
    <xf numFmtId="0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49" fontId="7" fillId="0" borderId="0" pivotButton="0" quotePrefix="0" xfId="0"/>
    <xf numFmtId="165" fontId="7" fillId="0" borderId="0" pivotButton="0" quotePrefix="0" xfId="0"/>
    <xf numFmtId="1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DATOS BASE PARA DASHBOARD — ADMIN CARIBE S.A.S.</t>
        </is>
      </c>
    </row>
    <row r="2">
      <c r="A2" s="2" t="inlineStr">
        <is>
          <t>VENDEDOR</t>
        </is>
      </c>
      <c r="B2" s="2" t="inlineStr">
        <is>
          <t>ENERO</t>
        </is>
      </c>
      <c r="C2" s="2" t="inlineStr">
        <is>
          <t>FEBRERO</t>
        </is>
      </c>
      <c r="D2" s="2" t="inlineStr">
        <is>
          <t>MARZO</t>
        </is>
      </c>
      <c r="E2" s="2" t="inlineStr">
        <is>
          <t>TOTAL_Q1</t>
        </is>
      </c>
      <c r="F2" s="2" t="inlineStr">
        <is>
          <t>META_Q1</t>
        </is>
      </c>
      <c r="G2" s="2" t="inlineStr">
        <is>
          <t>% CUMPLIMIENTO</t>
        </is>
      </c>
      <c r="H2" s="2" t="inlineStr">
        <is>
          <t>ESTADO</t>
        </is>
      </c>
    </row>
    <row r="3">
      <c r="A3" s="3" t="inlineStr">
        <is>
          <t>Carlos Martínez</t>
        </is>
      </c>
      <c r="B3" s="4" t="n">
        <v>38500000</v>
      </c>
      <c r="C3" s="4" t="n">
        <v>41200000</v>
      </c>
      <c r="D3" s="4" t="n">
        <v>43800000</v>
      </c>
      <c r="E3" s="4" t="n">
        <v>123500000</v>
      </c>
      <c r="F3" s="4" t="n">
        <v>120000000</v>
      </c>
      <c r="G3" s="5" t="n">
        <v>1.029166666666667</v>
      </c>
      <c r="H3" s="6" t="inlineStr">
        <is>
          <t>CUMPLIDO</t>
        </is>
      </c>
    </row>
    <row r="4">
      <c r="A4" s="7" t="inlineStr">
        <is>
          <t>Sandra Castro</t>
        </is>
      </c>
      <c r="B4" s="8" t="n">
        <v>54000000</v>
      </c>
      <c r="C4" s="8" t="n">
        <v>58300000</v>
      </c>
      <c r="D4" s="8" t="n">
        <v>61200000</v>
      </c>
      <c r="E4" s="8" t="n">
        <v>173500000</v>
      </c>
      <c r="F4" s="8" t="n">
        <v>180000000</v>
      </c>
      <c r="G4" s="9" t="n">
        <v>0.9638888888888889</v>
      </c>
      <c r="H4" s="10" t="inlineStr">
        <is>
          <t>EN RIESGO</t>
        </is>
      </c>
    </row>
    <row r="5">
      <c r="A5" s="3" t="inlineStr">
        <is>
          <t>Pedro Herrera</t>
        </is>
      </c>
      <c r="B5" s="4" t="n">
        <v>22100000</v>
      </c>
      <c r="C5" s="4" t="n">
        <v>24500000</v>
      </c>
      <c r="D5" s="4" t="n">
        <v>26800000</v>
      </c>
      <c r="E5" s="4" t="n">
        <v>73400000</v>
      </c>
      <c r="F5" s="4" t="n">
        <v>75000000</v>
      </c>
      <c r="G5" s="5" t="n">
        <v>0.9786666666666667</v>
      </c>
      <c r="H5" s="10" t="inlineStr">
        <is>
          <t>EN RIESGO</t>
        </is>
      </c>
    </row>
    <row r="6">
      <c r="A6" s="7" t="inlineStr">
        <is>
          <t>Diana Moreno</t>
        </is>
      </c>
      <c r="B6" s="8" t="n">
        <v>18000000</v>
      </c>
      <c r="C6" s="8" t="n">
        <v>19500000</v>
      </c>
      <c r="D6" s="8" t="n">
        <v>21000000</v>
      </c>
      <c r="E6" s="8" t="n">
        <v>58500000</v>
      </c>
      <c r="F6" s="8" t="n">
        <v>60000000</v>
      </c>
      <c r="G6" s="9" t="n">
        <v>0.975</v>
      </c>
      <c r="H6" s="10" t="inlineStr">
        <is>
          <t>EN RIESGO</t>
        </is>
      </c>
    </row>
    <row r="7">
      <c r="A7" s="3" t="inlineStr">
        <is>
          <t>Luis Vargas</t>
        </is>
      </c>
      <c r="B7" s="4" t="n">
        <v>12000000</v>
      </c>
      <c r="C7" s="4" t="n">
        <v>13500000</v>
      </c>
      <c r="D7" s="4" t="n">
        <v>14800000</v>
      </c>
      <c r="E7" s="4" t="n">
        <v>40300000</v>
      </c>
      <c r="F7" s="4" t="n">
        <v>42000000</v>
      </c>
      <c r="G7" s="5" t="n">
        <v>0.9595238095238096</v>
      </c>
      <c r="H7" s="10" t="inlineStr">
        <is>
          <t>EN RIESGO</t>
        </is>
      </c>
    </row>
    <row r="9">
      <c r="A9" s="11" t="inlineStr">
        <is>
          <t>TOTAL EMPRESA</t>
        </is>
      </c>
      <c r="B9" s="12">
        <f>SUM(B3:B8)</f>
        <v/>
      </c>
      <c r="C9" s="12">
        <f>SUM(C3:C8)</f>
        <v/>
      </c>
      <c r="D9" s="12">
        <f>SUM(D3:D8)</f>
        <v/>
      </c>
      <c r="E9" s="12">
        <f>SUM(E3:E8)</f>
        <v/>
      </c>
      <c r="F9" s="12">
        <f>SUM(F3:F8)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6" customWidth="1" min="4" max="4"/>
  </cols>
  <sheetData>
    <row r="1" ht="30" customHeight="1">
      <c r="A1" s="13" t="inlineStr">
        <is>
          <t>PANEL KPIs — DASHBOARD EJECUTIVO</t>
        </is>
      </c>
    </row>
    <row r="3" ht="35" customHeight="1">
      <c r="A3" s="14" t="inlineStr">
        <is>
          <t>VENTAS TOTALES Q1</t>
        </is>
      </c>
      <c r="B3" s="15">
        <f>SUM(Datos_Dashboard!E3:E8)</f>
        <v/>
      </c>
    </row>
    <row r="4" ht="35" customHeight="1">
      <c r="A4" s="14" t="inlineStr">
        <is>
          <t>MEJOR VENDEDOR</t>
        </is>
      </c>
      <c r="B4" s="16">
        <f>INDICE(Datos_Dashboard!A3:A8,COINCIDIR(MAX(Datos_Dashboard!E3:E8),Datos_Dashboard!E3:E8,0))</f>
        <v/>
      </c>
    </row>
    <row r="5" ht="35" customHeight="1">
      <c r="A5" s="14" t="inlineStr">
        <is>
          <t>% CUMPLIMIENTO PROMEDIO</t>
        </is>
      </c>
      <c r="B5" s="17">
        <f>PROMEDIO(Datos_Dashboard!G3:G8)</f>
        <v/>
      </c>
    </row>
    <row r="6" ht="35" customHeight="1">
      <c r="A6" s="14" t="inlineStr">
        <is>
          <t>VENDEDORES EN META</t>
        </is>
      </c>
      <c r="B6" s="18">
        <f>CONTAR.SI(Datos_Dashboard!H3:H8,"CUMPLIDO")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3" t="inlineStr">
        <is>
          <t>ACTIVIDAD PRÁCTICA — DÍA 6: Macros y Dashboard Ejecutivo</t>
        </is>
      </c>
    </row>
    <row r="2">
      <c r="A2" s="19" t="inlineStr"/>
    </row>
    <row r="3">
      <c r="A3" s="20" t="inlineStr">
        <is>
          <t>PARTE 1 — MACRO DE FORMATO (20 min)</t>
        </is>
      </c>
    </row>
    <row r="4">
      <c r="A4" s="19" t="inlineStr">
        <is>
          <t>1. Abre el Editor VBA: Alt+F11</t>
        </is>
      </c>
    </row>
    <row r="5">
      <c r="A5" s="19" t="inlineStr">
        <is>
          <t>2. Inserta un módulo: Insertar → Módulo</t>
        </is>
      </c>
    </row>
    <row r="6">
      <c r="A6" s="19" t="inlineStr">
        <is>
          <t>3. Escribe (o copia) la siguiente macro:</t>
        </is>
      </c>
    </row>
    <row r="7">
      <c r="A7" s="21" t="inlineStr">
        <is>
          <t xml:space="preserve">   Sub FormatoReporte()</t>
        </is>
      </c>
    </row>
    <row r="8">
      <c r="A8" s="21" t="inlineStr">
        <is>
          <t xml:space="preserve">     Rows("1:1").Font.Bold = True</t>
        </is>
      </c>
    </row>
    <row r="9">
      <c r="A9" s="21" t="inlineStr">
        <is>
          <t xml:space="preserve">     Rows("1:1").Interior.Color = RGB(26, 184, 122)</t>
        </is>
      </c>
    </row>
    <row r="10">
      <c r="A10" s="21" t="inlineStr">
        <is>
          <t xml:space="preserve">     Cells.EntireColumn.AutoFit</t>
        </is>
      </c>
    </row>
    <row r="11">
      <c r="A11" s="21" t="inlineStr">
        <is>
          <t xml:space="preserve">     MsgBox "Formato aplicado correctamente!"</t>
        </is>
      </c>
    </row>
    <row r="12">
      <c r="A12" s="21" t="inlineStr">
        <is>
          <t xml:space="preserve">   End Sub</t>
        </is>
      </c>
    </row>
    <row r="13">
      <c r="A13" s="19" t="inlineStr">
        <is>
          <t>4. Ejecuta con F5 — verifica que funciona</t>
        </is>
      </c>
    </row>
    <row r="14">
      <c r="A14" s="19" t="inlineStr">
        <is>
          <t>5. Asigna la macro a un botón en la hoja "KPIs_Dashboard"</t>
        </is>
      </c>
    </row>
    <row r="15">
      <c r="A15" s="19" t="inlineStr"/>
    </row>
    <row r="16">
      <c r="A16" s="20" t="inlineStr">
        <is>
          <t>PARTE 2 — DASHBOARD (40 min)</t>
        </is>
      </c>
    </row>
    <row r="17">
      <c r="A17" s="19" t="inlineStr">
        <is>
          <t>1. En la hoja "KPIs_Dashboard", construye el panel visual con los 4 KPIs</t>
        </is>
      </c>
    </row>
    <row r="18">
      <c r="A18" s="19" t="inlineStr">
        <is>
          <t>2. Agrega un gráfico de barras de los vendedores (fuente: Datos_Dashboard)</t>
        </is>
      </c>
    </row>
    <row r="19">
      <c r="A19" s="19" t="inlineStr">
        <is>
          <t>3. Agrega formato condicional: si % cumplimiento &lt; 85% → celda roja</t>
        </is>
      </c>
    </row>
    <row r="20">
      <c r="A20" s="19" t="inlineStr">
        <is>
          <t>4. Protege la hoja "Datos_Dashboard" con contraseña: "Admin2025"</t>
        </is>
      </c>
    </row>
    <row r="21">
      <c r="A21" s="19" t="inlineStr">
        <is>
          <t>5. Guarda como .xlsm (libro habilitado para macros)</t>
        </is>
      </c>
    </row>
    <row r="22">
      <c r="A22" s="19" t="inlineStr"/>
    </row>
    <row r="23">
      <c r="A23" s="22" t="inlineStr">
        <is>
          <t>Guarda como: Dashboard_AdminCaribe_TuNombre.xlsm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2026-06-18T23:11:53Z</dcterms:modified>
</cp:coreProperties>
</file>