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A" sheetId="1" state="visible" r:id="rId1"/>
    <sheet xmlns:r="http://schemas.openxmlformats.org/officeDocument/2006/relationships" name="Datos_Nomina" sheetId="2" state="visible" r:id="rId2"/>
    <sheet xmlns:r="http://schemas.openxmlformats.org/officeDocument/2006/relationships" name="SUMAR_SI" sheetId="3" state="visible" r:id="rId3"/>
    <sheet xmlns:r="http://schemas.openxmlformats.org/officeDocument/2006/relationships" name="CONTAR_SI" sheetId="4" state="visible" r:id="rId4"/>
    <sheet xmlns:r="http://schemas.openxmlformats.org/officeDocument/2006/relationships" name="PROMEDIO_SI" sheetId="5" state="visible" r:id="rId5"/>
    <sheet xmlns:r="http://schemas.openxmlformats.org/officeDocument/2006/relationships" name="RETO_CONJUNTO" sheetId="6" state="visible" r:id="rId6"/>
  </sheets>
  <definedNames>
    <definedName name="_xlnm._FilterDatabase" localSheetId="1" hidden="1">'Datos_Nomina'!$A$2:$G$2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30">
    <font>
      <name val="Calibri"/>
      <family val="2"/>
      <color theme="1"/>
      <sz val="11"/>
      <scheme val="minor"/>
    </font>
    <font>
      <b val="1"/>
      <color rgb="001AB87A"/>
      <sz val="16"/>
    </font>
    <font>
      <color rgb="00888888"/>
      <sz val="10"/>
    </font>
    <font>
      <color rgb="00333333"/>
      <sz val="10"/>
    </font>
    <font>
      <b val="1"/>
      <color rgb="001AB87A"/>
      <sz val="12"/>
    </font>
    <font>
      <color rgb="000070C0"/>
      <sz val="10"/>
    </font>
    <font>
      <b val="1"/>
      <color rgb="00E05050"/>
      <sz val="11"/>
    </font>
    <font>
      <color rgb="00E05050"/>
      <sz val="10"/>
    </font>
    <font>
      <b val="1"/>
      <color rgb="007C6FF0"/>
      <sz val="13"/>
    </font>
    <font>
      <b val="1"/>
      <color rgb="00FFFFFF"/>
      <sz val="10"/>
    </font>
    <font>
      <b val="1"/>
      <color rgb="000070C0"/>
      <sz val="10"/>
    </font>
    <font>
      <i val="1"/>
      <color rgb="00555555"/>
      <sz val="10"/>
    </font>
    <font>
      <b val="1"/>
      <color rgb="001AB87A"/>
      <sz val="10"/>
    </font>
    <font>
      <color rgb="00333333"/>
      <sz val="9"/>
    </font>
    <font>
      <color rgb="00888888"/>
      <sz val="8"/>
    </font>
    <font>
      <b val="1"/>
      <color rgb="000070C0"/>
      <sz val="9"/>
    </font>
    <font>
      <color rgb="000070C0"/>
      <sz val="9"/>
    </font>
    <font>
      <b val="1"/>
      <color rgb="001AB87A"/>
      <sz val="11"/>
    </font>
    <font>
      <i val="1"/>
      <color rgb="00AAAAAA"/>
      <sz val="9"/>
    </font>
    <font>
      <i val="1"/>
      <color rgb="00555555"/>
      <sz val="9"/>
    </font>
    <font>
      <b val="1"/>
      <color rgb="001AB87A"/>
      <sz val="14"/>
    </font>
    <font>
      <b val="1"/>
      <color rgb="001a1a2a"/>
      <sz val="10"/>
    </font>
    <font>
      <b val="1"/>
      <color rgb="006FA8DC"/>
      <sz val="10"/>
    </font>
    <font>
      <b val="1"/>
      <color rgb="006FA8DC"/>
      <sz val="11"/>
    </font>
    <font>
      <b val="1"/>
      <color rgb="00E05050"/>
      <sz val="10"/>
    </font>
    <font>
      <b val="1"/>
      <color rgb="001a1000"/>
      <sz val="10"/>
    </font>
    <font>
      <b val="1"/>
      <color rgb="00F0B429"/>
      <sz val="10"/>
    </font>
    <font>
      <color rgb="00555555"/>
      <sz val="9"/>
    </font>
    <font>
      <color rgb="000070C0"/>
      <sz val="8"/>
    </font>
    <font>
      <b val="1"/>
      <color rgb="00F0B429"/>
      <sz val="11"/>
    </font>
  </fonts>
  <fills count="11">
    <fill>
      <patternFill/>
    </fill>
    <fill>
      <patternFill patternType="gray125"/>
    </fill>
    <fill>
      <patternFill patternType="solid">
        <fgColor rgb="001AB87A"/>
      </patternFill>
    </fill>
    <fill>
      <patternFill patternType="solid">
        <fgColor rgb="00FFFFFF"/>
      </patternFill>
    </fill>
    <fill>
      <patternFill patternType="solid">
        <fgColor rgb="00E8F8F0"/>
      </patternFill>
    </fill>
    <fill>
      <patternFill patternType="solid">
        <fgColor rgb="00FFF9C4"/>
      </patternFill>
    </fill>
    <fill>
      <patternFill patternType="solid">
        <fgColor rgb="0000A070"/>
      </patternFill>
    </fill>
    <fill>
      <patternFill patternType="solid">
        <fgColor rgb="006FA8DC"/>
      </patternFill>
    </fill>
    <fill>
      <patternFill patternType="solid">
        <fgColor rgb="00E8F0FF"/>
      </patternFill>
    </fill>
    <fill>
      <patternFill patternType="solid">
        <fgColor rgb="00F0B429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left" vertical="center"/>
    </xf>
    <xf numFmtId="164" fontId="0" fillId="4" borderId="1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center"/>
    </xf>
    <xf numFmtId="0" fontId="16" fillId="4" borderId="1" applyAlignment="1" pivotButton="0" quotePrefix="0" xfId="0">
      <alignment horizontal="left" vertical="center"/>
    </xf>
    <xf numFmtId="164" fontId="17" fillId="4" borderId="1" applyAlignment="1" pivotButton="0" quotePrefix="0" xfId="0">
      <alignment horizontal="right" vertical="center"/>
    </xf>
    <xf numFmtId="0" fontId="18" fillId="5" borderId="1" applyAlignment="1" pivotButton="0" quotePrefix="0" xfId="0">
      <alignment horizontal="left" vertical="center"/>
    </xf>
    <xf numFmtId="0" fontId="19" fillId="0" borderId="0" pivotButton="0" quotePrefix="0" xfId="0"/>
    <xf numFmtId="0" fontId="9" fillId="6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/>
    </xf>
    <xf numFmtId="0" fontId="21" fillId="7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/>
    </xf>
    <xf numFmtId="164" fontId="23" fillId="8" borderId="1" applyAlignment="1" pivotButton="0" quotePrefix="0" xfId="0">
      <alignment horizontal="right" vertical="center"/>
    </xf>
    <xf numFmtId="0" fontId="24" fillId="0" borderId="0" pivotButton="0" quotePrefix="0" xfId="0"/>
    <xf numFmtId="0" fontId="25" fillId="9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center" vertical="center"/>
    </xf>
    <xf numFmtId="0" fontId="27" fillId="0" borderId="1" applyAlignment="1" pivotButton="0" quotePrefix="0" xfId="0">
      <alignment horizontal="left" vertical="center"/>
    </xf>
    <xf numFmtId="0" fontId="28" fillId="4" borderId="1" applyAlignment="1" pivotButton="0" quotePrefix="0" xfId="0">
      <alignment horizontal="left" vertical="center" wrapText="1"/>
    </xf>
    <xf numFmtId="164" fontId="29" fillId="1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ACTIVIDAD 2 — FUNCIONES CONDICIONALES</t>
        </is>
      </c>
    </row>
    <row r="2">
      <c r="A2" s="2" t="inlineStr">
        <is>
          <t>DÍA 2 | Módulo 11 — Ofimática Avanzada | INTEBIEN S.A.S.</t>
        </is>
      </c>
    </row>
    <row r="3">
      <c r="A3" s="3" t="inlineStr"/>
    </row>
    <row r="4">
      <c r="A4" s="4" t="inlineStr">
        <is>
          <t>¿QUÉ APRENDERÁS?</t>
        </is>
      </c>
    </row>
    <row r="5">
      <c r="A5" s="3" t="inlineStr">
        <is>
          <t>Las funciones condicionales analizan grandes bases de datos respondiendo preguntas específicas:</t>
        </is>
      </c>
    </row>
    <row r="6">
      <c r="A6" s="3" t="inlineStr">
        <is>
          <t xml:space="preserve">  ¿Cuántos empleados son de Barranquilla? → CONTAR.SI</t>
        </is>
      </c>
    </row>
    <row r="7">
      <c r="A7" s="3" t="inlineStr">
        <is>
          <t xml:space="preserve">  ¿Cuánto suma la nómina del área de Ventas? → SUMAR.SI</t>
        </is>
      </c>
    </row>
    <row r="8">
      <c r="A8" s="3" t="inlineStr">
        <is>
          <t xml:space="preserve">  ¿Cuál es el salario promedio en Bogotá? → PROMEDIO.SI</t>
        </is>
      </c>
    </row>
    <row r="9">
      <c r="A9" s="3" t="inlineStr">
        <is>
          <t xml:space="preserve">  ¿Cuánto es la nómina de Ventas en Barranquilla? → SUMAR.SI.CONJUNTO</t>
        </is>
      </c>
    </row>
    <row r="10">
      <c r="A10" s="3" t="inlineStr"/>
    </row>
    <row r="11">
      <c r="A11" s="4" t="inlineStr">
        <is>
          <t>ESTRUCTURA DE ESTA ACTIVIDAD</t>
        </is>
      </c>
    </row>
    <row r="12">
      <c r="A12" s="3" t="inlineStr">
        <is>
          <t xml:space="preserve">  Hoja 2 — Datos_Nomina     : Base de datos de 20 empleados (tu fuente)</t>
        </is>
      </c>
    </row>
    <row r="13">
      <c r="A13" s="3" t="inlineStr">
        <is>
          <t xml:space="preserve">  Hoja 3 — SUMAR_SI         : Practica SUMAR.SI paso a paso</t>
        </is>
      </c>
    </row>
    <row r="14">
      <c r="A14" s="3" t="inlineStr">
        <is>
          <t xml:space="preserve">  Hoja 4 — CONTAR_SI        : Practica CONTAR.SI paso a paso</t>
        </is>
      </c>
    </row>
    <row r="15">
      <c r="A15" s="3" t="inlineStr">
        <is>
          <t xml:space="preserve">  Hoja 5 — PROMEDIO_SI      : Practica PROMEDIO.SI paso a paso</t>
        </is>
      </c>
    </row>
    <row r="16">
      <c r="A16" s="3" t="inlineStr">
        <is>
          <t xml:space="preserve">  Hoja 6 — RETO_CONJUNTO    : SUMAR.SI.CONJUNTO con múltiples condiciones</t>
        </is>
      </c>
    </row>
    <row r="17">
      <c r="A17" s="3" t="inlineStr"/>
    </row>
    <row r="18">
      <c r="A18" s="4" t="inlineStr">
        <is>
          <t>INSTRUCCIONES GENERALES</t>
        </is>
      </c>
    </row>
    <row r="19">
      <c r="A19" s="3" t="inlineStr">
        <is>
          <t xml:space="preserve">  1. Trabaja cada hoja en orden</t>
        </is>
      </c>
    </row>
    <row r="20">
      <c r="A20" s="3" t="inlineStr">
        <is>
          <t xml:space="preserve">  2. Las celdas en AMARILLO son donde escribes tus fórmulas</t>
        </is>
      </c>
    </row>
    <row r="21">
      <c r="A21" s="3" t="inlineStr">
        <is>
          <t xml:space="preserve">  3. Las celdas en VERDE CLARO muestran el resultado correcto para verificar</t>
        </is>
      </c>
    </row>
    <row r="22">
      <c r="A22" s="3" t="inlineStr">
        <is>
          <t xml:space="preserve">  4. En cada hoja hay 2 ejemplos resueltos y luego ejercicios para ti</t>
        </is>
      </c>
    </row>
    <row r="23">
      <c r="A23" s="3" t="inlineStr"/>
    </row>
    <row r="24">
      <c r="A24" s="4" t="inlineStr">
        <is>
          <t>FÓRMULAS CLAVE</t>
        </is>
      </c>
    </row>
    <row r="25">
      <c r="A25" s="5" t="inlineStr">
        <is>
          <t xml:space="preserve">  CONTAR.SI:          =CONTAR.SI( rango_condición , condición )</t>
        </is>
      </c>
    </row>
    <row r="26">
      <c r="A26" s="5" t="inlineStr">
        <is>
          <t xml:space="preserve">  SUMAR.SI:           =SUMAR.SI( rango_condición , condición , rango_suma )</t>
        </is>
      </c>
    </row>
    <row r="27">
      <c r="A27" s="5" t="inlineStr">
        <is>
          <t xml:space="preserve">  PROMEDIO.SI:        =PROMEDIO.SI( rango_condición , condición , rango_promedio )</t>
        </is>
      </c>
    </row>
    <row r="28">
      <c r="A28" s="5" t="inlineStr">
        <is>
          <t xml:space="preserve">  SUMAR.SI.CONJUNTO:  =SUMAR.SI.CONJUNTO( rango_suma , rango_crit1 , crit1 , rango_crit2 , crit2 , ... )</t>
        </is>
      </c>
    </row>
    <row r="29">
      <c r="A29" s="3" t="inlineStr"/>
    </row>
    <row r="30">
      <c r="A30" s="6" t="inlineStr">
        <is>
          <t xml:space="preserve">  ATENCIÓN — SUMAR.SI vs SUMAR.SI.CONJUNTO:</t>
        </is>
      </c>
    </row>
    <row r="31">
      <c r="A31" s="7" t="inlineStr">
        <is>
          <t xml:space="preserve">  SUMAR.SI:           el rango de suma va AL FINAL</t>
        </is>
      </c>
    </row>
    <row r="32">
      <c r="A32" s="7" t="inlineStr">
        <is>
          <t xml:space="preserve">  SUMAR.SI.CONJUNTO:  el rango de suma va AL INICIO</t>
        </is>
      </c>
    </row>
    <row r="33">
      <c r="A33" s="3" t="inlineStr"/>
    </row>
    <row r="34">
      <c r="A34" s="6" t="inlineStr">
        <is>
          <t>ENTREGA: Guarda como  Actividad2_Condicionales_TuNombre.xlsx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14" customWidth="1" min="4" max="4"/>
    <col width="12" customWidth="1" min="5" max="5"/>
    <col width="14" customWidth="1" min="6" max="6"/>
    <col width="13" customWidth="1" min="7" max="7"/>
  </cols>
  <sheetData>
    <row r="1" ht="22" customHeight="1">
      <c r="A1" s="8" t="inlineStr">
        <is>
          <t>BASE DE DATOS NÓMINA — ADMIN CARIBE S.A.S. (No modificar esta hoja)</t>
        </is>
      </c>
    </row>
    <row r="2">
      <c r="A2" s="9" t="inlineStr">
        <is>
          <t>ID</t>
        </is>
      </c>
      <c r="B2" s="9" t="inlineStr">
        <is>
          <t>NOMBRE</t>
        </is>
      </c>
      <c r="C2" s="9" t="inlineStr">
        <is>
          <t>DEPARTAMENTO</t>
        </is>
      </c>
      <c r="D2" s="9" t="inlineStr">
        <is>
          <t>CIUDAD</t>
        </is>
      </c>
      <c r="E2" s="9" t="inlineStr">
        <is>
          <t>TIPO_CARGO</t>
        </is>
      </c>
      <c r="F2" s="9" t="inlineStr">
        <is>
          <t>SALARIO</t>
        </is>
      </c>
      <c r="G2" s="9" t="inlineStr">
        <is>
          <t>BONO</t>
        </is>
      </c>
    </row>
    <row r="3">
      <c r="A3" s="10" t="inlineStr">
        <is>
          <t>E001</t>
        </is>
      </c>
      <c r="B3" s="10" t="inlineStr">
        <is>
          <t>Ana Torres</t>
        </is>
      </c>
      <c r="C3" s="10" t="inlineStr">
        <is>
          <t>Administración</t>
        </is>
      </c>
      <c r="D3" s="10" t="inlineStr">
        <is>
          <t>Barranquilla</t>
        </is>
      </c>
      <c r="E3" s="10" t="inlineStr">
        <is>
          <t>Auxiliar</t>
        </is>
      </c>
      <c r="F3" s="11" t="n">
        <v>1850000</v>
      </c>
      <c r="G3" s="11" t="n">
        <v>0</v>
      </c>
    </row>
    <row r="4">
      <c r="A4" s="12" t="inlineStr">
        <is>
          <t>E002</t>
        </is>
      </c>
      <c r="B4" s="12" t="inlineStr">
        <is>
          <t>Carlos Martínez</t>
        </is>
      </c>
      <c r="C4" s="12" t="inlineStr">
        <is>
          <t>Ventas</t>
        </is>
      </c>
      <c r="D4" s="12" t="inlineStr">
        <is>
          <t>Barranquilla</t>
        </is>
      </c>
      <c r="E4" s="12" t="inlineStr">
        <is>
          <t>Senior</t>
        </is>
      </c>
      <c r="F4" s="13" t="n">
        <v>2900000</v>
      </c>
      <c r="G4" s="13" t="n">
        <v>290000</v>
      </c>
    </row>
    <row r="5">
      <c r="A5" s="10" t="inlineStr">
        <is>
          <t>E003</t>
        </is>
      </c>
      <c r="B5" s="10" t="inlineStr">
        <is>
          <t>María Rodríguez</t>
        </is>
      </c>
      <c r="C5" s="10" t="inlineStr">
        <is>
          <t>Contabilidad</t>
        </is>
      </c>
      <c r="D5" s="10" t="inlineStr">
        <is>
          <t>Barranquilla</t>
        </is>
      </c>
      <c r="E5" s="10" t="inlineStr">
        <is>
          <t>Auxiliar</t>
        </is>
      </c>
      <c r="F5" s="11" t="n">
        <v>1950000</v>
      </c>
      <c r="G5" s="11" t="n">
        <v>0</v>
      </c>
    </row>
    <row r="6">
      <c r="A6" s="12" t="inlineStr">
        <is>
          <t>E004</t>
        </is>
      </c>
      <c r="B6" s="12" t="inlineStr">
        <is>
          <t>Juan García</t>
        </is>
      </c>
      <c r="C6" s="12" t="inlineStr">
        <is>
          <t>Logística</t>
        </is>
      </c>
      <c r="D6" s="12" t="inlineStr">
        <is>
          <t>Bogotá</t>
        </is>
      </c>
      <c r="E6" s="12" t="inlineStr">
        <is>
          <t>Profesional</t>
        </is>
      </c>
      <c r="F6" s="13" t="n">
        <v>3300000</v>
      </c>
      <c r="G6" s="13" t="n">
        <v>330000</v>
      </c>
    </row>
    <row r="7">
      <c r="A7" s="10" t="inlineStr">
        <is>
          <t>E005</t>
        </is>
      </c>
      <c r="B7" s="10" t="inlineStr">
        <is>
          <t>Laura Díaz</t>
        </is>
      </c>
      <c r="C7" s="10" t="inlineStr">
        <is>
          <t>Gerencia</t>
        </is>
      </c>
      <c r="D7" s="10" t="inlineStr">
        <is>
          <t>Barranquilla</t>
        </is>
      </c>
      <c r="E7" s="10" t="inlineStr">
        <is>
          <t>Senior</t>
        </is>
      </c>
      <c r="F7" s="11" t="n">
        <v>2600000</v>
      </c>
      <c r="G7" s="11" t="n">
        <v>260000</v>
      </c>
    </row>
    <row r="8">
      <c r="A8" s="12" t="inlineStr">
        <is>
          <t>E006</t>
        </is>
      </c>
      <c r="B8" s="12" t="inlineStr">
        <is>
          <t>Pedro Herrera</t>
        </is>
      </c>
      <c r="C8" s="12" t="inlineStr">
        <is>
          <t>Ventas</t>
        </is>
      </c>
      <c r="D8" s="12" t="inlineStr">
        <is>
          <t>Cartagena</t>
        </is>
      </c>
      <c r="E8" s="12" t="inlineStr">
        <is>
          <t>Junior</t>
        </is>
      </c>
      <c r="F8" s="13" t="n">
        <v>1750000</v>
      </c>
      <c r="G8" s="13" t="n">
        <v>0</v>
      </c>
    </row>
    <row r="9">
      <c r="A9" s="10" t="inlineStr">
        <is>
          <t>E007</t>
        </is>
      </c>
      <c r="B9" s="10" t="inlineStr">
        <is>
          <t>Sandra Gómez</t>
        </is>
      </c>
      <c r="C9" s="10" t="inlineStr">
        <is>
          <t>Ventas</t>
        </is>
      </c>
      <c r="D9" s="10" t="inlineStr">
        <is>
          <t>Bogotá</t>
        </is>
      </c>
      <c r="E9" s="10" t="inlineStr">
        <is>
          <t>Senior</t>
        </is>
      </c>
      <c r="F9" s="11" t="n">
        <v>3000000</v>
      </c>
      <c r="G9" s="11" t="n">
        <v>300000</v>
      </c>
    </row>
    <row r="10">
      <c r="A10" s="12" t="inlineStr">
        <is>
          <t>E008</t>
        </is>
      </c>
      <c r="B10" s="12" t="inlineStr">
        <is>
          <t>Miguel López</t>
        </is>
      </c>
      <c r="C10" s="12" t="inlineStr">
        <is>
          <t>Logística</t>
        </is>
      </c>
      <c r="D10" s="12" t="inlineStr">
        <is>
          <t>Barranquilla</t>
        </is>
      </c>
      <c r="E10" s="12" t="inlineStr">
        <is>
          <t>Auxiliar</t>
        </is>
      </c>
      <c r="F10" s="13" t="n">
        <v>1700000</v>
      </c>
      <c r="G10" s="13" t="n">
        <v>0</v>
      </c>
    </row>
    <row r="11">
      <c r="A11" s="10" t="inlineStr">
        <is>
          <t>E009</t>
        </is>
      </c>
      <c r="B11" s="10" t="inlineStr">
        <is>
          <t>Diana Moreno</t>
        </is>
      </c>
      <c r="C11" s="10" t="inlineStr">
        <is>
          <t>RRHH</t>
        </is>
      </c>
      <c r="D11" s="10" t="inlineStr">
        <is>
          <t>Barranquilla</t>
        </is>
      </c>
      <c r="E11" s="10" t="inlineStr">
        <is>
          <t>Profesional</t>
        </is>
      </c>
      <c r="F11" s="11" t="n">
        <v>2200000</v>
      </c>
      <c r="G11" s="11" t="n">
        <v>0</v>
      </c>
    </row>
    <row r="12">
      <c r="A12" s="12" t="inlineStr">
        <is>
          <t>E010</t>
        </is>
      </c>
      <c r="B12" s="12" t="inlineStr">
        <is>
          <t>Luis Vargas</t>
        </is>
      </c>
      <c r="C12" s="12" t="inlineStr">
        <is>
          <t>Contabilidad</t>
        </is>
      </c>
      <c r="D12" s="12" t="inlineStr">
        <is>
          <t>Medellín</t>
        </is>
      </c>
      <c r="E12" s="12" t="inlineStr">
        <is>
          <t>Junior</t>
        </is>
      </c>
      <c r="F12" s="13" t="n">
        <v>2400000</v>
      </c>
      <c r="G12" s="13" t="n">
        <v>0</v>
      </c>
    </row>
    <row r="13">
      <c r="A13" s="10" t="inlineStr">
        <is>
          <t>E011</t>
        </is>
      </c>
      <c r="B13" s="10" t="inlineStr">
        <is>
          <t>Roberto Silva</t>
        </is>
      </c>
      <c r="C13" s="10" t="inlineStr">
        <is>
          <t>IT</t>
        </is>
      </c>
      <c r="D13" s="10" t="inlineStr">
        <is>
          <t>Bogotá</t>
        </is>
      </c>
      <c r="E13" s="10" t="inlineStr">
        <is>
          <t>Profesional</t>
        </is>
      </c>
      <c r="F13" s="11" t="n">
        <v>2500000</v>
      </c>
      <c r="G13" s="11" t="n">
        <v>0</v>
      </c>
    </row>
    <row r="14">
      <c r="A14" s="12" t="inlineStr">
        <is>
          <t>E012</t>
        </is>
      </c>
      <c r="B14" s="12" t="inlineStr">
        <is>
          <t>Valeria Gómez</t>
        </is>
      </c>
      <c r="C14" s="12" t="inlineStr">
        <is>
          <t>Gerencia</t>
        </is>
      </c>
      <c r="D14" s="12" t="inlineStr">
        <is>
          <t>Barranquilla</t>
        </is>
      </c>
      <c r="E14" s="12" t="inlineStr">
        <is>
          <t>Senior</t>
        </is>
      </c>
      <c r="F14" s="13" t="n">
        <v>5800000</v>
      </c>
      <c r="G14" s="13" t="n">
        <v>580000</v>
      </c>
    </row>
    <row r="15">
      <c r="A15" s="10" t="inlineStr">
        <is>
          <t>E013</t>
        </is>
      </c>
      <c r="B15" s="10" t="inlineStr">
        <is>
          <t>Andrés Castro</t>
        </is>
      </c>
      <c r="C15" s="10" t="inlineStr">
        <is>
          <t>Ventas</t>
        </is>
      </c>
      <c r="D15" s="10" t="inlineStr">
        <is>
          <t>Barranquilla</t>
        </is>
      </c>
      <c r="E15" s="10" t="inlineStr">
        <is>
          <t>Senior</t>
        </is>
      </c>
      <c r="F15" s="11" t="n">
        <v>2800000</v>
      </c>
      <c r="G15" s="11" t="n">
        <v>280000</v>
      </c>
    </row>
    <row r="16">
      <c r="A16" s="12" t="inlineStr">
        <is>
          <t>E014</t>
        </is>
      </c>
      <c r="B16" s="12" t="inlineStr">
        <is>
          <t>Patricia Ruiz</t>
        </is>
      </c>
      <c r="C16" s="12" t="inlineStr">
        <is>
          <t>Administración</t>
        </is>
      </c>
      <c r="D16" s="12" t="inlineStr">
        <is>
          <t>Barranquilla</t>
        </is>
      </c>
      <c r="E16" s="12" t="inlineStr">
        <is>
          <t>Junior</t>
        </is>
      </c>
      <c r="F16" s="13" t="n">
        <v>1600000</v>
      </c>
      <c r="G16" s="13" t="n">
        <v>0</v>
      </c>
    </row>
    <row r="17">
      <c r="A17" s="10" t="inlineStr">
        <is>
          <t>E015</t>
        </is>
      </c>
      <c r="B17" s="10" t="inlineStr">
        <is>
          <t>Felipe Torres</t>
        </is>
      </c>
      <c r="C17" s="10" t="inlineStr">
        <is>
          <t>Logística</t>
        </is>
      </c>
      <c r="D17" s="10" t="inlineStr">
        <is>
          <t>Bogotá</t>
        </is>
      </c>
      <c r="E17" s="10" t="inlineStr">
        <is>
          <t>Profesional</t>
        </is>
      </c>
      <c r="F17" s="11" t="n">
        <v>3100000</v>
      </c>
      <c r="G17" s="11" t="n">
        <v>310000</v>
      </c>
    </row>
    <row r="18">
      <c r="A18" s="12" t="inlineStr">
        <is>
          <t>E016</t>
        </is>
      </c>
      <c r="B18" s="12" t="inlineStr">
        <is>
          <t>Carolina Pérez</t>
        </is>
      </c>
      <c r="C18" s="12" t="inlineStr">
        <is>
          <t>Contabilidad</t>
        </is>
      </c>
      <c r="D18" s="12" t="inlineStr">
        <is>
          <t>Barranquilla</t>
        </is>
      </c>
      <c r="E18" s="12" t="inlineStr">
        <is>
          <t>Senior</t>
        </is>
      </c>
      <c r="F18" s="13" t="n">
        <v>3500000</v>
      </c>
      <c r="G18" s="13" t="n">
        <v>350000</v>
      </c>
    </row>
    <row r="19">
      <c r="A19" s="10" t="inlineStr">
        <is>
          <t>E017</t>
        </is>
      </c>
      <c r="B19" s="10" t="inlineStr">
        <is>
          <t>Hernando Morales</t>
        </is>
      </c>
      <c r="C19" s="10" t="inlineStr">
        <is>
          <t>Ventas</t>
        </is>
      </c>
      <c r="D19" s="10" t="inlineStr">
        <is>
          <t>Cartagena</t>
        </is>
      </c>
      <c r="E19" s="10" t="inlineStr">
        <is>
          <t>Junior</t>
        </is>
      </c>
      <c r="F19" s="11" t="n">
        <v>1700000</v>
      </c>
      <c r="G19" s="11" t="n">
        <v>0</v>
      </c>
    </row>
    <row r="20">
      <c r="A20" s="12" t="inlineStr">
        <is>
          <t>E018</t>
        </is>
      </c>
      <c r="B20" s="12" t="inlineStr">
        <is>
          <t>Lucía Fernández</t>
        </is>
      </c>
      <c r="C20" s="12" t="inlineStr">
        <is>
          <t>RRHH</t>
        </is>
      </c>
      <c r="D20" s="12" t="inlineStr">
        <is>
          <t>Barranquilla</t>
        </is>
      </c>
      <c r="E20" s="12" t="inlineStr">
        <is>
          <t>Senior</t>
        </is>
      </c>
      <c r="F20" s="13" t="n">
        <v>4200000</v>
      </c>
      <c r="G20" s="13" t="n">
        <v>420000</v>
      </c>
    </row>
    <row r="21">
      <c r="A21" s="10" t="inlineStr">
        <is>
          <t>E019</t>
        </is>
      </c>
      <c r="B21" s="10" t="inlineStr">
        <is>
          <t>Camilo Ríos</t>
        </is>
      </c>
      <c r="C21" s="10" t="inlineStr">
        <is>
          <t>IT</t>
        </is>
      </c>
      <c r="D21" s="10" t="inlineStr">
        <is>
          <t>Bogotá</t>
        </is>
      </c>
      <c r="E21" s="10" t="inlineStr">
        <is>
          <t>Senior</t>
        </is>
      </c>
      <c r="F21" s="11" t="n">
        <v>4500000</v>
      </c>
      <c r="G21" s="11" t="n">
        <v>450000</v>
      </c>
    </row>
    <row r="22">
      <c r="A22" s="12" t="inlineStr">
        <is>
          <t>E020</t>
        </is>
      </c>
      <c r="B22" s="12" t="inlineStr">
        <is>
          <t>Natalia Vega</t>
        </is>
      </c>
      <c r="C22" s="12" t="inlineStr">
        <is>
          <t>Gerencia</t>
        </is>
      </c>
      <c r="D22" s="12" t="inlineStr">
        <is>
          <t>Barranquilla</t>
        </is>
      </c>
      <c r="E22" s="12" t="inlineStr">
        <is>
          <t>Senior</t>
        </is>
      </c>
      <c r="F22" s="13" t="n">
        <v>8500000</v>
      </c>
      <c r="G22" s="13" t="n">
        <v>850000</v>
      </c>
    </row>
  </sheetData>
  <autoFilter ref="A2:G2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25" customWidth="1" min="3" max="3"/>
    <col width="18" customWidth="1" min="4" max="4"/>
    <col width="50" customWidth="1" min="5" max="5"/>
    <col width="18" customWidth="1" min="6" max="6"/>
  </cols>
  <sheetData>
    <row r="1" ht="22" customHeight="1">
      <c r="A1" s="8" t="inlineStr">
        <is>
          <t>SUMAR.SI — Suma de valores que cumplen una condición</t>
        </is>
      </c>
    </row>
    <row r="2">
      <c r="A2" s="14" t="inlineStr">
        <is>
          <t>SINTAXIS: =SUMAR.SI( rango_donde_está_la_condición , "condición" , rango_de_números_a_sumar )</t>
        </is>
      </c>
    </row>
    <row r="3">
      <c r="A3" s="15" t="inlineStr">
        <is>
          <t>Si el rango_condición y el rango_suma son la misma columna, puedes omitir el tercer argumento.</t>
        </is>
      </c>
    </row>
    <row r="5">
      <c r="A5" s="9" t="inlineStr">
        <is>
          <t>#</t>
        </is>
      </c>
      <c r="B5" s="9" t="inlineStr">
        <is>
          <t>PREGUNTA</t>
        </is>
      </c>
      <c r="C5" s="9" t="inlineStr">
        <is>
          <t>RANGO CONDICIÓN</t>
        </is>
      </c>
      <c r="D5" s="9" t="inlineStr">
        <is>
          <t>CONDICIÓN</t>
        </is>
      </c>
      <c r="E5" s="9" t="inlineStr">
        <is>
          <t>TU FÓRMULA =SUMAR.SI(...)</t>
        </is>
      </c>
      <c r="F5" s="9" t="inlineStr">
        <is>
          <t>RESPUESTA CORRECTA</t>
        </is>
      </c>
    </row>
    <row r="6" ht="30" customHeight="1">
      <c r="A6" s="16" t="n">
        <v>1</v>
      </c>
      <c r="B6" s="17" t="inlineStr">
        <is>
          <t>¿Cuánto suma la nómina del depto. Ventas?</t>
        </is>
      </c>
      <c r="C6" s="18" t="inlineStr">
        <is>
          <t>C3:C22</t>
        </is>
      </c>
      <c r="D6" s="19" t="inlineStr">
        <is>
          <t>"Ventas"</t>
        </is>
      </c>
      <c r="E6" s="20">
        <f>SUMAR.SI(Datos_Nomina!$C$3:$C$22,"Ventas",Datos_Nomina!$F$3:$F$22)</f>
        <v/>
      </c>
      <c r="F6" s="21" t="n">
        <v>12150000</v>
      </c>
    </row>
    <row r="7" ht="30" customHeight="1">
      <c r="A7" s="16" t="n">
        <v>2</v>
      </c>
      <c r="B7" s="17" t="inlineStr">
        <is>
          <t>¿Cuánto suman los salarios de Barranquilla?</t>
        </is>
      </c>
      <c r="C7" s="18" t="inlineStr">
        <is>
          <t>D3:D22</t>
        </is>
      </c>
      <c r="D7" s="19" t="inlineStr">
        <is>
          <t>"Barranquilla"</t>
        </is>
      </c>
      <c r="E7" s="20">
        <f>SUMAR.SI(Datos_Nomina!$D$3:$D$22,"Barranquilla",Datos_Nomina!$F$3:$F$22)</f>
        <v/>
      </c>
      <c r="F7" s="21" t="n">
        <v>40800000</v>
      </c>
    </row>
    <row r="8" ht="30" customHeight="1">
      <c r="A8" s="16" t="n">
        <v>3</v>
      </c>
      <c r="B8" s="17" t="inlineStr">
        <is>
          <t>¿Cuánto suman los salarios de Logística?</t>
        </is>
      </c>
      <c r="C8" s="18" t="inlineStr">
        <is>
          <t>C3:C22</t>
        </is>
      </c>
      <c r="D8" s="19" t="inlineStr">
        <is>
          <t>"Logística"</t>
        </is>
      </c>
      <c r="E8" s="22" t="inlineStr">
        <is>
          <t>← Escribe tu fórmula SUMAR.SI aquí</t>
        </is>
      </c>
      <c r="F8" s="21" t="n">
        <v>8100000</v>
      </c>
    </row>
    <row r="9" ht="30" customHeight="1">
      <c r="A9" s="16" t="n">
        <v>4</v>
      </c>
      <c r="B9" s="17" t="inlineStr">
        <is>
          <t>¿Cuánto suman los salarios de Contabilidad?</t>
        </is>
      </c>
      <c r="C9" s="18" t="inlineStr">
        <is>
          <t>C3:C22</t>
        </is>
      </c>
      <c r="D9" s="19" t="inlineStr">
        <is>
          <t>"Contabilidad"</t>
        </is>
      </c>
      <c r="E9" s="22" t="inlineStr">
        <is>
          <t>← Escribe tu fórmula SUMAR.SI aquí</t>
        </is>
      </c>
      <c r="F9" s="21" t="n">
        <v>7850000</v>
      </c>
    </row>
    <row r="10" ht="30" customHeight="1">
      <c r="A10" s="16" t="n">
        <v>5</v>
      </c>
      <c r="B10" s="17" t="inlineStr">
        <is>
          <t>¿Cuánto suma la nómina de Bogotá?</t>
        </is>
      </c>
      <c r="C10" s="18" t="inlineStr">
        <is>
          <t>D3:D22</t>
        </is>
      </c>
      <c r="D10" s="19" t="inlineStr">
        <is>
          <t>"Bogotá"</t>
        </is>
      </c>
      <c r="E10" s="22" t="inlineStr">
        <is>
          <t>← Escribe tu fórmula SUMAR.SI aquí</t>
        </is>
      </c>
      <c r="F10" s="21" t="n">
        <v>16400000</v>
      </c>
    </row>
    <row r="11" ht="30" customHeight="1">
      <c r="A11" s="16" t="n">
        <v>6</v>
      </c>
      <c r="B11" s="17" t="inlineStr">
        <is>
          <t>¿Cuánto suman los bonos de empleados Senior?</t>
        </is>
      </c>
      <c r="C11" s="18" t="inlineStr">
        <is>
          <t>E3:E22</t>
        </is>
      </c>
      <c r="D11" s="19" t="inlineStr">
        <is>
          <t>"Senior"</t>
        </is>
      </c>
      <c r="E11" s="22" t="inlineStr">
        <is>
          <t>← Escribe tu fórmula SUMAR.SI aquí</t>
        </is>
      </c>
      <c r="F11" s="21" t="n">
        <v>3330000</v>
      </c>
    </row>
    <row r="12" ht="30" customHeight="1">
      <c r="A12" s="16" t="n">
        <v>7</v>
      </c>
      <c r="B12" s="17" t="inlineStr">
        <is>
          <t>¿Cuánto suman salarios mayores a $3,000,000?</t>
        </is>
      </c>
      <c r="C12" s="18" t="inlineStr">
        <is>
          <t>F3:F22</t>
        </is>
      </c>
      <c r="D12" s="19" t="inlineStr">
        <is>
          <t>"&gt;3000000"</t>
        </is>
      </c>
      <c r="E12" s="22" t="inlineStr">
        <is>
          <t>← Escribe tu fórmula SUMAR.SI aquí</t>
        </is>
      </c>
      <c r="F12" s="21" t="n">
        <v>33900000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25" customWidth="1" min="3" max="3"/>
    <col width="20" customWidth="1" min="4" max="4"/>
    <col width="50" customWidth="1" min="5" max="5"/>
    <col width="18" customWidth="1" min="6" max="6"/>
  </cols>
  <sheetData>
    <row r="1" ht="22" customHeight="1">
      <c r="A1" s="8" t="inlineStr">
        <is>
          <t>CONTAR.SI — Cuenta cuántas celdas cumplen una condición</t>
        </is>
      </c>
    </row>
    <row r="2">
      <c r="A2" s="14" t="inlineStr">
        <is>
          <t>SINTAXIS: =CONTAR.SI( rango , "condición" )   ←  Solo 2 argumentos. No hay rango de suma.</t>
        </is>
      </c>
    </row>
    <row r="3">
      <c r="A3" s="23" t="inlineStr">
        <is>
          <t>Operadores válidos: "texto" | "&gt;número" | "&lt;número" | "&gt;=número" | "&lt;&gt;texto" (diferente) | "*parcial*" (comodín)</t>
        </is>
      </c>
    </row>
    <row r="5">
      <c r="A5" s="24" t="inlineStr">
        <is>
          <t>#</t>
        </is>
      </c>
      <c r="B5" s="24" t="inlineStr">
        <is>
          <t>PREGUNTA</t>
        </is>
      </c>
      <c r="C5" s="24" t="inlineStr">
        <is>
          <t>RANGO</t>
        </is>
      </c>
      <c r="D5" s="24" t="inlineStr">
        <is>
          <t>CONDICIÓN</t>
        </is>
      </c>
      <c r="E5" s="24" t="inlineStr">
        <is>
          <t>TU FÓRMULA =CONTAR.SI(...)</t>
        </is>
      </c>
      <c r="F5" s="24" t="inlineStr">
        <is>
          <t>RESPUESTA CORRECTA</t>
        </is>
      </c>
    </row>
    <row r="6" ht="30" customHeight="1">
      <c r="A6" s="16" t="n">
        <v>1</v>
      </c>
      <c r="B6" s="17" t="inlineStr">
        <is>
          <t>¿Cuántos empleados son del depto. Ventas?</t>
        </is>
      </c>
      <c r="C6" s="18" t="inlineStr">
        <is>
          <t>C3:C22</t>
        </is>
      </c>
      <c r="D6" s="19" t="inlineStr">
        <is>
          <t>"Ventas"</t>
        </is>
      </c>
      <c r="E6" s="20">
        <f>CONTAR.SI(Datos_Nomina!$C$3:$C$22,"Ventas")</f>
        <v/>
      </c>
      <c r="F6" s="25" t="n">
        <v>5</v>
      </c>
    </row>
    <row r="7" ht="30" customHeight="1">
      <c r="A7" s="16" t="n">
        <v>2</v>
      </c>
      <c r="B7" s="17" t="inlineStr">
        <is>
          <t>¿Cuántos empleados son de Barranquilla?</t>
        </is>
      </c>
      <c r="C7" s="18" t="inlineStr">
        <is>
          <t>D3:D22</t>
        </is>
      </c>
      <c r="D7" s="19" t="inlineStr">
        <is>
          <t>"Barranquilla"</t>
        </is>
      </c>
      <c r="E7" s="20">
        <f>CONTAR.SI(Datos_Nomina!$D$3:$D$22,"Barranquilla")</f>
        <v/>
      </c>
      <c r="F7" s="25" t="n">
        <v>13</v>
      </c>
    </row>
    <row r="8" ht="30" customHeight="1">
      <c r="A8" s="16" t="n">
        <v>3</v>
      </c>
      <c r="B8" s="17" t="inlineStr">
        <is>
          <t>¿Cuántos empleados son Junior?</t>
        </is>
      </c>
      <c r="C8" s="18" t="inlineStr">
        <is>
          <t>E3:E22</t>
        </is>
      </c>
      <c r="D8" s="19" t="inlineStr">
        <is>
          <t>"Junior"</t>
        </is>
      </c>
      <c r="E8" s="22" t="inlineStr">
        <is>
          <t>← Escribe tu fórmula CONTAR.SI aquí</t>
        </is>
      </c>
      <c r="F8" s="25" t="n">
        <v>5</v>
      </c>
    </row>
    <row r="9" ht="30" customHeight="1">
      <c r="A9" s="16" t="n">
        <v>4</v>
      </c>
      <c r="B9" s="17" t="inlineStr">
        <is>
          <t>¿Cuántos empleados ganan más de $3,000,000?</t>
        </is>
      </c>
      <c r="C9" s="18" t="inlineStr">
        <is>
          <t>F3:F22</t>
        </is>
      </c>
      <c r="D9" s="19" t="inlineStr">
        <is>
          <t>"&gt;3000000"</t>
        </is>
      </c>
      <c r="E9" s="22" t="inlineStr">
        <is>
          <t>← Escribe tu fórmula CONTAR.SI aquí</t>
        </is>
      </c>
      <c r="F9" s="25" t="n">
        <v>7</v>
      </c>
    </row>
    <row r="10" ht="30" customHeight="1">
      <c r="A10" s="16" t="n">
        <v>5</v>
      </c>
      <c r="B10" s="17" t="inlineStr">
        <is>
          <t>¿Cuántos empleados son de Bogotá?</t>
        </is>
      </c>
      <c r="C10" s="18" t="inlineStr">
        <is>
          <t>D3:D22</t>
        </is>
      </c>
      <c r="D10" s="19" t="inlineStr">
        <is>
          <t>"Bogotá"</t>
        </is>
      </c>
      <c r="E10" s="22" t="inlineStr">
        <is>
          <t>← Escribe tu fórmula CONTAR.SI aquí</t>
        </is>
      </c>
      <c r="F10" s="25" t="n">
        <v>5</v>
      </c>
    </row>
    <row r="11" ht="30" customHeight="1">
      <c r="A11" s="16" t="n">
        <v>6</v>
      </c>
      <c r="B11" s="17" t="inlineStr">
        <is>
          <t>¿Cuántos empleados tienen bono mayor a $0?</t>
        </is>
      </c>
      <c r="C11" s="18" t="inlineStr">
        <is>
          <t>G3:G22</t>
        </is>
      </c>
      <c r="D11" s="19" t="inlineStr">
        <is>
          <t>"&gt;0"</t>
        </is>
      </c>
      <c r="E11" s="22" t="inlineStr">
        <is>
          <t>← Escribe tu fórmula CONTAR.SI aquí</t>
        </is>
      </c>
      <c r="F11" s="25" t="n">
        <v>9</v>
      </c>
    </row>
    <row r="12" ht="30" customHeight="1">
      <c r="A12" s="16" t="n">
        <v>7</v>
      </c>
      <c r="B12" s="17" t="inlineStr">
        <is>
          <t>¿Cuántos empleados son de Contabilidad o RRHH? (usa dos CONTAR.SI)</t>
        </is>
      </c>
      <c r="C12" s="18" t="inlineStr">
        <is>
          <t>C3:C22</t>
        </is>
      </c>
      <c r="D12" s="19" t="inlineStr">
        <is>
          <t>"Contab." / "RRHH"</t>
        </is>
      </c>
      <c r="E12" s="22" t="inlineStr">
        <is>
          <t>← Escribe tu fórmula CONTAR.SI aquí</t>
        </is>
      </c>
      <c r="F12" s="25" t="n">
        <v>5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25" customWidth="1" min="3" max="3"/>
    <col width="18" customWidth="1" min="4" max="4"/>
    <col width="55" customWidth="1" min="5" max="5"/>
    <col width="18" customWidth="1" min="6" max="6"/>
  </cols>
  <sheetData>
    <row r="1" ht="22" customHeight="1">
      <c r="A1" s="8" t="inlineStr">
        <is>
          <t>PROMEDIO.SI — Promedio de valores que cumplen una condición</t>
        </is>
      </c>
    </row>
    <row r="2">
      <c r="A2" s="14" t="inlineStr">
        <is>
          <t>SINTAXIS: =PROMEDIO.SI( rango_condición , "condición" , rango_valores_a_promediar )</t>
        </is>
      </c>
    </row>
    <row r="3">
      <c r="A3" s="23" t="inlineStr">
        <is>
          <t>Misma estructura que SUMAR.SI. Si rango_condición = rango_valores, omite el tercer argumento.</t>
        </is>
      </c>
    </row>
    <row r="5">
      <c r="A5" s="26" t="inlineStr">
        <is>
          <t>#</t>
        </is>
      </c>
      <c r="B5" s="26" t="inlineStr">
        <is>
          <t>PREGUNTA</t>
        </is>
      </c>
      <c r="C5" s="26" t="inlineStr">
        <is>
          <t>RANGO CONDICIÓN</t>
        </is>
      </c>
      <c r="D5" s="26" t="inlineStr">
        <is>
          <t>CONDICIÓN</t>
        </is>
      </c>
      <c r="E5" s="26" t="inlineStr">
        <is>
          <t>TU FÓRMULA =PROMEDIO.SI(...)</t>
        </is>
      </c>
      <c r="F5" s="26" t="inlineStr">
        <is>
          <t>RESPUESTA CORRECTA</t>
        </is>
      </c>
    </row>
    <row r="6" ht="30" customHeight="1">
      <c r="A6" s="27" t="n">
        <v>1</v>
      </c>
      <c r="B6" s="17" t="inlineStr">
        <is>
          <t>¿Cuál es el salario promedio del depto. Ventas?</t>
        </is>
      </c>
      <c r="C6" s="18" t="inlineStr">
        <is>
          <t>C3:C22</t>
        </is>
      </c>
      <c r="D6" s="19" t="inlineStr">
        <is>
          <t>"Ventas"</t>
        </is>
      </c>
      <c r="E6" s="20">
        <f>PROMEDIO.SI(Datos_Nomina!$C$3:$C$22,"Ventas",Datos_Nomina!$F$3:$F$22)</f>
        <v/>
      </c>
      <c r="F6" s="28" t="n">
        <v>2430000</v>
      </c>
    </row>
    <row r="7" ht="30" customHeight="1">
      <c r="A7" s="27" t="n">
        <v>2</v>
      </c>
      <c r="B7" s="17" t="inlineStr">
        <is>
          <t>¿Cuál es el salario promedio en Barranquilla?</t>
        </is>
      </c>
      <c r="C7" s="18" t="inlineStr">
        <is>
          <t>D3:D22</t>
        </is>
      </c>
      <c r="D7" s="19" t="inlineStr">
        <is>
          <t>"Barranquilla"</t>
        </is>
      </c>
      <c r="E7" s="20">
        <f>PROMEDIO.SI(Datos_Nomina!$D$3:$D$22,"Barranquilla",Datos_Nomina!$F$3:$F$22)</f>
        <v/>
      </c>
      <c r="F7" s="28" t="n">
        <v>3138462</v>
      </c>
    </row>
    <row r="8" ht="30" customHeight="1">
      <c r="A8" s="27" t="n">
        <v>3</v>
      </c>
      <c r="B8" s="17" t="inlineStr">
        <is>
          <t>¿Cuál es el salario promedio de empleados Senior?</t>
        </is>
      </c>
      <c r="C8" s="18" t="inlineStr">
        <is>
          <t>E3:E22</t>
        </is>
      </c>
      <c r="D8" s="19" t="inlineStr">
        <is>
          <t>"Senior"</t>
        </is>
      </c>
      <c r="E8" s="22" t="inlineStr">
        <is>
          <t>← Escribe tu fórmula PROMEDIO.SI aquí</t>
        </is>
      </c>
      <c r="F8" s="28" t="n">
        <v>4162500</v>
      </c>
    </row>
    <row r="9" ht="30" customHeight="1">
      <c r="A9" s="27" t="n">
        <v>4</v>
      </c>
      <c r="B9" s="17" t="inlineStr">
        <is>
          <t>¿Cuál es el salario promedio de Contabilidad?</t>
        </is>
      </c>
      <c r="C9" s="18" t="inlineStr">
        <is>
          <t>C3:C22</t>
        </is>
      </c>
      <c r="D9" s="19" t="inlineStr">
        <is>
          <t>"Contabilidad"</t>
        </is>
      </c>
      <c r="E9" s="22" t="inlineStr">
        <is>
          <t>← Escribe tu fórmula PROMEDIO.SI aquí</t>
        </is>
      </c>
      <c r="F9" s="28" t="n">
        <v>2616667</v>
      </c>
    </row>
    <row r="10" ht="30" customHeight="1">
      <c r="A10" s="27" t="n">
        <v>5</v>
      </c>
      <c r="B10" s="17" t="inlineStr">
        <is>
          <t>¿Cuál es el promedio de bonos (solo de quien tiene bono)?</t>
        </is>
      </c>
      <c r="C10" s="18" t="inlineStr">
        <is>
          <t>G3:G22</t>
        </is>
      </c>
      <c r="D10" s="19" t="inlineStr">
        <is>
          <t>"&gt;0"</t>
        </is>
      </c>
      <c r="E10" s="22" t="inlineStr">
        <is>
          <t>← Escribe tu fórmula PROMEDIO.SI aquí</t>
        </is>
      </c>
      <c r="F10" s="28" t="n">
        <v>370000</v>
      </c>
    </row>
    <row r="11" ht="30" customHeight="1">
      <c r="A11" s="27" t="n">
        <v>6</v>
      </c>
      <c r="B11" s="17" t="inlineStr">
        <is>
          <t>¿Cuál es el salario promedio en Bogotá?</t>
        </is>
      </c>
      <c r="C11" s="18" t="inlineStr">
        <is>
          <t>D3:D22</t>
        </is>
      </c>
      <c r="D11" s="19" t="inlineStr">
        <is>
          <t>"Bogotá"</t>
        </is>
      </c>
      <c r="E11" s="22" t="inlineStr">
        <is>
          <t>← Escribe tu fórmula PROMEDIO.SI aquí</t>
        </is>
      </c>
      <c r="F11" s="28" t="n">
        <v>3280000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0" customWidth="1" min="3" max="3"/>
    <col width="20" customWidth="1" min="4" max="4"/>
    <col width="55" customWidth="1" min="5" max="5"/>
    <col width="18" customWidth="1" min="6" max="6"/>
  </cols>
  <sheetData>
    <row r="1" ht="22" customHeight="1">
      <c r="A1" s="8" t="inlineStr">
        <is>
          <t>RETO — SUMAR.SI.CONJUNTO: Múltiples condiciones simultáneas</t>
        </is>
      </c>
    </row>
    <row r="2">
      <c r="A2" s="29" t="inlineStr">
        <is>
          <t>¡ATENCIÓN AL ORDEN! En SUMAR.SI.CONJUNTO el rango_suma va PRIMERO (al contrario de SUMAR.SI)</t>
        </is>
      </c>
    </row>
    <row r="3">
      <c r="A3" s="14" t="inlineStr">
        <is>
          <t>SINTAXIS: =SUMAR.SI.CONJUNTO( rango_suma , rango_crit1 , crit1 , rango_crit2 , crit2 , ... )</t>
        </is>
      </c>
    </row>
    <row r="4">
      <c r="A4" s="23" t="inlineStr">
        <is>
          <t>Puedes agregar hasta 127 pares (rango_criterio, criterio). Se suman solo las filas que cumplen TODAS las condiciones.</t>
        </is>
      </c>
    </row>
    <row r="6">
      <c r="A6" s="30" t="inlineStr">
        <is>
          <t>#</t>
        </is>
      </c>
      <c r="B6" s="30" t="inlineStr">
        <is>
          <t>PREGUNTA (2 condiciones)</t>
        </is>
      </c>
      <c r="C6" s="30" t="inlineStr">
        <is>
          <t>CONDICIÓN 1</t>
        </is>
      </c>
      <c r="D6" s="30" t="inlineStr">
        <is>
          <t>CONDICIÓN 2</t>
        </is>
      </c>
      <c r="E6" s="30" t="inlineStr">
        <is>
          <t>TU FÓRMULA</t>
        </is>
      </c>
      <c r="F6" s="30" t="inlineStr">
        <is>
          <t>RESPUESTA</t>
        </is>
      </c>
    </row>
    <row r="7" ht="35" customHeight="1">
      <c r="A7" s="31" t="n">
        <v>1</v>
      </c>
      <c r="B7" s="17" t="inlineStr">
        <is>
          <t>¿Cuánto suma la nómina de Ventas en Barranquilla?</t>
        </is>
      </c>
      <c r="C7" s="32" t="inlineStr">
        <is>
          <t>C="Ventas"</t>
        </is>
      </c>
      <c r="D7" s="32" t="inlineStr">
        <is>
          <t>D="Barranquilla"</t>
        </is>
      </c>
      <c r="E7" s="33">
        <f>SUMAR.SI.CONJUNTO(Datos_Nomina!$F$3:$F$22,Datos_Nomina!$C$3:$C$22,"Ventas",Datos_Nomina!$D$3:$D$22,"Barranquilla")</f>
        <v/>
      </c>
      <c r="F7" s="34" t="n">
        <v>8500000</v>
      </c>
    </row>
    <row r="8" ht="35" customHeight="1">
      <c r="A8" s="31" t="n">
        <v>2</v>
      </c>
      <c r="B8" s="17" t="inlineStr">
        <is>
          <t>¿Cuánto suma la nómina de empleados Senior en Barranquilla?</t>
        </is>
      </c>
      <c r="C8" s="32" t="inlineStr">
        <is>
          <t>E="Senior"</t>
        </is>
      </c>
      <c r="D8" s="32" t="inlineStr">
        <is>
          <t>D="Barranquilla"</t>
        </is>
      </c>
      <c r="E8" s="33">
        <f>SUMAR.SI.CONJUNTO(Datos_Nomina!$F$3:$F$22,Datos_Nomina!$E$3:$E$22,"Senior",Datos_Nomina!$D$3:$D$22,"Barranquilla")</f>
        <v/>
      </c>
      <c r="F8" s="34" t="n">
        <v>28350000</v>
      </c>
    </row>
    <row r="9" ht="35" customHeight="1">
      <c r="A9" s="31" t="n">
        <v>3</v>
      </c>
      <c r="B9" s="17" t="inlineStr">
        <is>
          <t>¿Cuánto suman los bonos de Ventas en Bogotá?</t>
        </is>
      </c>
      <c r="C9" s="32" t="inlineStr">
        <is>
          <t>C="Ventas"</t>
        </is>
      </c>
      <c r="D9" s="32" t="inlineStr">
        <is>
          <t>D="Bogotá"</t>
        </is>
      </c>
      <c r="E9" s="22" t="inlineStr">
        <is>
          <t>← Escribe tu fórmula SUMAR.SI.CONJUNTO aquí</t>
        </is>
      </c>
      <c r="F9" s="34" t="n">
        <v>300000</v>
      </c>
    </row>
    <row r="10" ht="35" customHeight="1">
      <c r="A10" s="31" t="n">
        <v>4</v>
      </c>
      <c r="B10" s="17" t="inlineStr">
        <is>
          <t>¿Cuánto suman los salarios de Logística en Bogotá?</t>
        </is>
      </c>
      <c r="C10" s="32" t="inlineStr">
        <is>
          <t>C="Logística"</t>
        </is>
      </c>
      <c r="D10" s="32" t="inlineStr">
        <is>
          <t>D="Bogotá"</t>
        </is>
      </c>
      <c r="E10" s="22" t="inlineStr">
        <is>
          <t>← Escribe tu fórmula SUMAR.SI.CONJUNTO aquí</t>
        </is>
      </c>
      <c r="F10" s="34" t="n">
        <v>6400000</v>
      </c>
    </row>
    <row r="11" ht="35" customHeight="1">
      <c r="A11" s="31" t="n">
        <v>5</v>
      </c>
      <c r="B11" s="17" t="inlineStr">
        <is>
          <t>¿Cuánto suma la nómina de Auxiliares en Barranquilla?</t>
        </is>
      </c>
      <c r="C11" s="32" t="inlineStr">
        <is>
          <t>E="Auxiliar"</t>
        </is>
      </c>
      <c r="D11" s="32" t="inlineStr">
        <is>
          <t>D="Barranquilla"</t>
        </is>
      </c>
      <c r="E11" s="22" t="inlineStr">
        <is>
          <t>← Escribe tu fórmula SUMAR.SI.CONJUNTO aquí</t>
        </is>
      </c>
      <c r="F11" s="34" t="n">
        <v>5250000</v>
      </c>
    </row>
    <row r="12" ht="35" customHeight="1">
      <c r="A12" s="31" t="n">
        <v>6</v>
      </c>
      <c r="B12" s="17" t="inlineStr">
        <is>
          <t>¿Cuánto suman bonos de Senior en Bogotá?</t>
        </is>
      </c>
      <c r="C12" s="32" t="inlineStr">
        <is>
          <t>E="Senior"</t>
        </is>
      </c>
      <c r="D12" s="32" t="inlineStr">
        <is>
          <t>D="Bogotá"</t>
        </is>
      </c>
      <c r="E12" s="22" t="inlineStr">
        <is>
          <t>← Escribe tu fórmula SUMAR.SI.CONJUNTO aquí</t>
        </is>
      </c>
      <c r="F12" s="34" t="n">
        <v>1080000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2026-06-23T20:28:19Z</dcterms:created>
  <dcterms:modified xmlns:dcterms="http://purl.org/dc/terms/" xmlns:xsi="http://www.w3.org/2001/XMLSchema-instance" xsi:type="dcterms:W3CDTF">2026-06-23T20:28:19Z</dcterms:modified>
</cp:coreProperties>
</file>