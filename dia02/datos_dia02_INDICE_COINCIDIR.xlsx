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Ventas_Trimestre" sheetId="2" state="visible" r:id="rId2"/>
    <sheet xmlns:r="http://schemas.openxmlformats.org/officeDocument/2006/relationships" name="Panel_Busqueda" sheetId="3" state="visible" r:id="rId3"/>
    <sheet xmlns:r="http://schemas.openxmlformats.org/officeDocument/2006/relationships" name="Practica_SUMARSI" sheetId="4" state="visible" r:id="rId4"/>
    <sheet xmlns:r="http://schemas.openxmlformats.org/officeDocument/2006/relationships" name="GUIA_ACTIVIDAD" sheetId="5" state="visible" r:id="rId5"/>
  </sheets>
  <definedNames>
    <definedName name="_xlnm._FilterDatabase" localSheetId="0" hidden="1">'Empleados'!$A$2:$H$2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b val="1"/>
      <color rgb="007C6FF0"/>
      <sz val="12"/>
    </font>
    <font>
      <b val="1"/>
      <color rgb="00FFFFFF"/>
      <sz val="10"/>
    </font>
    <font>
      <b val="1"/>
    </font>
    <font>
      <b val="1"/>
      <color rgb="007C6FF0"/>
      <sz val="14"/>
    </font>
    <font>
      <i val="1"/>
      <color rgb="00888888"/>
    </font>
    <font>
      <b val="1"/>
      <sz val="11"/>
    </font>
    <font>
      <color rgb="00000000"/>
      <sz val="10"/>
    </font>
    <font>
      <b val="1"/>
      <color rgb="00333333"/>
      <sz val="11"/>
    </font>
    <font>
      <b val="1"/>
      <color rgb="00C00000"/>
      <sz val="11"/>
    </font>
    <font>
      <color rgb="000070C0"/>
      <sz val="10"/>
    </font>
    <font>
      <color rgb="007030A0"/>
      <sz val="10"/>
    </font>
  </fonts>
  <fills count="6">
    <fill>
      <patternFill/>
    </fill>
    <fill>
      <patternFill patternType="gray125"/>
    </fill>
    <fill>
      <patternFill patternType="solid">
        <fgColor rgb="007C6FF0"/>
      </patternFill>
    </fill>
    <fill>
      <patternFill patternType="solid">
        <fgColor rgb="00FFFFFF"/>
      </patternFill>
    </fill>
    <fill>
      <patternFill patternType="solid">
        <fgColor rgb="00F0E6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5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22" customWidth="1" min="4" max="4"/>
    <col width="14" customWidth="1" min="5" max="5"/>
    <col width="14" customWidth="1" min="6" max="6"/>
    <col width="18" customWidth="1" min="7" max="7"/>
    <col width="12" customWidth="1" min="8" max="8"/>
  </cols>
  <sheetData>
    <row r="1">
      <c r="A1" s="1" t="inlineStr">
        <is>
          <t>NÓMINA ADMIN CARIBE S.A.S. — PRÁCTICA INDICE+COINCIDIR</t>
        </is>
      </c>
    </row>
    <row r="2">
      <c r="A2" s="2" t="inlineStr">
        <is>
          <t>ID_EMP</t>
        </is>
      </c>
      <c r="B2" s="2" t="inlineStr">
        <is>
          <t>NOMBRE</t>
        </is>
      </c>
      <c r="C2" s="2" t="inlineStr">
        <is>
          <t>DEPARTAMENTO</t>
        </is>
      </c>
      <c r="D2" s="2" t="inlineStr">
        <is>
          <t>CARGO</t>
        </is>
      </c>
      <c r="E2" s="2" t="inlineStr">
        <is>
          <t>CIUDAD</t>
        </is>
      </c>
      <c r="F2" s="2" t="inlineStr">
        <is>
          <t>SALARIO</t>
        </is>
      </c>
      <c r="G2" s="2" t="inlineStr">
        <is>
          <t>ANTIGUEDAD_AÑOS</t>
        </is>
      </c>
      <c r="H2" s="2" t="inlineStr">
        <is>
          <t>BONO</t>
        </is>
      </c>
    </row>
    <row r="3">
      <c r="A3" s="3" t="inlineStr">
        <is>
          <t>E001</t>
        </is>
      </c>
      <c r="B3" s="3" t="inlineStr">
        <is>
          <t>Carlos Martínez</t>
        </is>
      </c>
      <c r="C3" s="3" t="inlineStr">
        <is>
          <t>Ventas</t>
        </is>
      </c>
      <c r="D3" s="3" t="inlineStr">
        <is>
          <t>Vendedor Senior</t>
        </is>
      </c>
      <c r="E3" s="3" t="inlineStr">
        <is>
          <t>Barranquilla</t>
        </is>
      </c>
      <c r="F3" s="4" t="n">
        <v>2800000</v>
      </c>
      <c r="G3" s="3" t="n">
        <v>5</v>
      </c>
      <c r="H3" s="4" t="n">
        <v>280000</v>
      </c>
    </row>
    <row r="4">
      <c r="A4" s="5" t="inlineStr">
        <is>
          <t>E002</t>
        </is>
      </c>
      <c r="B4" s="5" t="inlineStr">
        <is>
          <t>María Rodríguez</t>
        </is>
      </c>
      <c r="C4" s="5" t="inlineStr">
        <is>
          <t>Contabilidad</t>
        </is>
      </c>
      <c r="D4" s="5" t="inlineStr">
        <is>
          <t>Auxiliar Contable</t>
        </is>
      </c>
      <c r="E4" s="5" t="inlineStr">
        <is>
          <t>Barranquilla</t>
        </is>
      </c>
      <c r="F4" s="6" t="n">
        <v>1900000</v>
      </c>
      <c r="G4" s="5" t="n">
        <v>3</v>
      </c>
      <c r="H4" s="6" t="n">
        <v>0</v>
      </c>
    </row>
    <row r="5">
      <c r="A5" s="3" t="inlineStr">
        <is>
          <t>E003</t>
        </is>
      </c>
      <c r="B5" s="3" t="inlineStr">
        <is>
          <t>Juan García</t>
        </is>
      </c>
      <c r="C5" s="3" t="inlineStr">
        <is>
          <t>Logística</t>
        </is>
      </c>
      <c r="D5" s="3" t="inlineStr">
        <is>
          <t>Coordinador</t>
        </is>
      </c>
      <c r="E5" s="3" t="inlineStr">
        <is>
          <t>Bogotá</t>
        </is>
      </c>
      <c r="F5" s="4" t="n">
        <v>3200000</v>
      </c>
      <c r="G5" s="3" t="n">
        <v>7</v>
      </c>
      <c r="H5" s="4" t="n">
        <v>320000</v>
      </c>
    </row>
    <row r="6">
      <c r="A6" s="5" t="inlineStr">
        <is>
          <t>E004</t>
        </is>
      </c>
      <c r="B6" s="5" t="inlineStr">
        <is>
          <t>Ana Torres</t>
        </is>
      </c>
      <c r="C6" s="5" t="inlineStr">
        <is>
          <t>RRHH</t>
        </is>
      </c>
      <c r="D6" s="5" t="inlineStr">
        <is>
          <t>Asistente RRHH</t>
        </is>
      </c>
      <c r="E6" s="5" t="inlineStr">
        <is>
          <t>Barranquilla</t>
        </is>
      </c>
      <c r="F6" s="6" t="n">
        <v>1800000</v>
      </c>
      <c r="G6" s="5" t="n">
        <v>2</v>
      </c>
      <c r="H6" s="6" t="n">
        <v>0</v>
      </c>
    </row>
    <row r="7">
      <c r="A7" s="3" t="inlineStr">
        <is>
          <t>E005</t>
        </is>
      </c>
      <c r="B7" s="3" t="inlineStr">
        <is>
          <t>Pedro Herrera</t>
        </is>
      </c>
      <c r="C7" s="3" t="inlineStr">
        <is>
          <t>Ventas</t>
        </is>
      </c>
      <c r="D7" s="3" t="inlineStr">
        <is>
          <t>Vendedor Junior</t>
        </is>
      </c>
      <c r="E7" s="3" t="inlineStr">
        <is>
          <t>Cartagena</t>
        </is>
      </c>
      <c r="F7" s="4" t="n">
        <v>1700000</v>
      </c>
      <c r="G7" s="3" t="n">
        <v>1</v>
      </c>
      <c r="H7" s="4" t="n">
        <v>0</v>
      </c>
    </row>
    <row r="8">
      <c r="A8" s="5" t="inlineStr">
        <is>
          <t>E006</t>
        </is>
      </c>
      <c r="B8" s="5" t="inlineStr">
        <is>
          <t>Laura Díaz</t>
        </is>
      </c>
      <c r="C8" s="5" t="inlineStr">
        <is>
          <t>Gerencia</t>
        </is>
      </c>
      <c r="D8" s="5" t="inlineStr">
        <is>
          <t>Asistente Gerencia</t>
        </is>
      </c>
      <c r="E8" s="5" t="inlineStr">
        <is>
          <t>Barranquilla</t>
        </is>
      </c>
      <c r="F8" s="6" t="n">
        <v>2500000</v>
      </c>
      <c r="G8" s="5" t="n">
        <v>4</v>
      </c>
      <c r="H8" s="6" t="n">
        <v>250000</v>
      </c>
    </row>
    <row r="9">
      <c r="A9" s="3" t="inlineStr">
        <is>
          <t>E007</t>
        </is>
      </c>
      <c r="B9" s="3" t="inlineStr">
        <is>
          <t>Miguel López</t>
        </is>
      </c>
      <c r="C9" s="3" t="inlineStr">
        <is>
          <t>Logística</t>
        </is>
      </c>
      <c r="D9" s="3" t="inlineStr">
        <is>
          <t>Auxiliar Logístico</t>
        </is>
      </c>
      <c r="E9" s="3" t="inlineStr">
        <is>
          <t>Barranquilla</t>
        </is>
      </c>
      <c r="F9" s="4" t="n">
        <v>1650000</v>
      </c>
      <c r="G9" s="3" t="n">
        <v>2</v>
      </c>
      <c r="H9" s="4" t="n">
        <v>0</v>
      </c>
    </row>
    <row r="10">
      <c r="A10" s="5" t="inlineStr">
        <is>
          <t>E008</t>
        </is>
      </c>
      <c r="B10" s="5" t="inlineStr">
        <is>
          <t>Sandra Castro</t>
        </is>
      </c>
      <c r="C10" s="5" t="inlineStr">
        <is>
          <t>Ventas</t>
        </is>
      </c>
      <c r="D10" s="5" t="inlineStr">
        <is>
          <t>Vendedora Senior</t>
        </is>
      </c>
      <c r="E10" s="5" t="inlineStr">
        <is>
          <t>Bogotá</t>
        </is>
      </c>
      <c r="F10" s="6" t="n">
        <v>2900000</v>
      </c>
      <c r="G10" s="5" t="n">
        <v>6</v>
      </c>
      <c r="H10" s="6" t="n">
        <v>290000</v>
      </c>
    </row>
    <row r="11">
      <c r="A11" s="3" t="inlineStr">
        <is>
          <t>E009</t>
        </is>
      </c>
      <c r="B11" s="3" t="inlineStr">
        <is>
          <t>Luis Vargas</t>
        </is>
      </c>
      <c r="C11" s="3" t="inlineStr">
        <is>
          <t>Contabilidad</t>
        </is>
      </c>
      <c r="D11" s="3" t="inlineStr">
        <is>
          <t>Contador Jr</t>
        </is>
      </c>
      <c r="E11" s="3" t="inlineStr">
        <is>
          <t>Medellín</t>
        </is>
      </c>
      <c r="F11" s="4" t="n">
        <v>2200000</v>
      </c>
      <c r="G11" s="3" t="n">
        <v>3</v>
      </c>
      <c r="H11" s="4" t="n">
        <v>0</v>
      </c>
    </row>
    <row r="12">
      <c r="A12" s="5" t="inlineStr">
        <is>
          <t>E010</t>
        </is>
      </c>
      <c r="B12" s="5" t="inlineStr">
        <is>
          <t>Diana Moreno</t>
        </is>
      </c>
      <c r="C12" s="5" t="inlineStr">
        <is>
          <t>Ventas</t>
        </is>
      </c>
      <c r="D12" s="5" t="inlineStr">
        <is>
          <t>Vendedora Junior</t>
        </is>
      </c>
      <c r="E12" s="5" t="inlineStr">
        <is>
          <t>Barranquilla</t>
        </is>
      </c>
      <c r="F12" s="6" t="n">
        <v>1700000</v>
      </c>
      <c r="G12" s="5" t="n">
        <v>1</v>
      </c>
      <c r="H12" s="6" t="n">
        <v>0</v>
      </c>
    </row>
    <row r="13">
      <c r="A13" s="3" t="inlineStr">
        <is>
          <t>E011</t>
        </is>
      </c>
      <c r="B13" s="3" t="inlineStr">
        <is>
          <t>Roberto Silva</t>
        </is>
      </c>
      <c r="C13" s="3" t="inlineStr">
        <is>
          <t>IT</t>
        </is>
      </c>
      <c r="D13" s="3" t="inlineStr">
        <is>
          <t>Soporte Técnico</t>
        </is>
      </c>
      <c r="E13" s="3" t="inlineStr">
        <is>
          <t>Bogotá</t>
        </is>
      </c>
      <c r="F13" s="4" t="n">
        <v>2400000</v>
      </c>
      <c r="G13" s="3" t="n">
        <v>3</v>
      </c>
      <c r="H13" s="4" t="n">
        <v>0</v>
      </c>
    </row>
    <row r="14">
      <c r="A14" s="5" t="inlineStr">
        <is>
          <t>E012</t>
        </is>
      </c>
      <c r="B14" s="5" t="inlineStr">
        <is>
          <t>Valeria Gómez</t>
        </is>
      </c>
      <c r="C14" s="5" t="inlineStr">
        <is>
          <t>Gerencia</t>
        </is>
      </c>
      <c r="D14" s="5" t="inlineStr">
        <is>
          <t>Gerente Comercial</t>
        </is>
      </c>
      <c r="E14" s="5" t="inlineStr">
        <is>
          <t>Barranquilla</t>
        </is>
      </c>
      <c r="F14" s="6" t="n">
        <v>5500000</v>
      </c>
      <c r="G14" s="5" t="n">
        <v>8</v>
      </c>
      <c r="H14" s="6" t="n">
        <v>550000</v>
      </c>
    </row>
  </sheetData>
  <autoFilter ref="A2:H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VENTAS POR CIUDAD Y MES — BÚSQUEDA BIDIRECCIONAL</t>
        </is>
      </c>
    </row>
    <row r="2">
      <c r="A2" s="2" t="inlineStr">
        <is>
          <t>CIUDAD / MES</t>
        </is>
      </c>
      <c r="B2" s="2" t="inlineStr">
        <is>
          <t>Enero</t>
        </is>
      </c>
      <c r="C2" s="2" t="inlineStr">
        <is>
          <t>Febrero</t>
        </is>
      </c>
      <c r="D2" s="2" t="inlineStr">
        <is>
          <t>Marzo</t>
        </is>
      </c>
    </row>
    <row r="3">
      <c r="A3" s="3" t="inlineStr">
        <is>
          <t>Barranquilla</t>
        </is>
      </c>
      <c r="B3" s="4" t="n">
        <v>38500000</v>
      </c>
      <c r="C3" s="4" t="n">
        <v>41200000</v>
      </c>
      <c r="D3" s="4" t="n">
        <v>43800000</v>
      </c>
    </row>
    <row r="4">
      <c r="A4" s="5" t="inlineStr">
        <is>
          <t>Bogotá</t>
        </is>
      </c>
      <c r="B4" s="6" t="n">
        <v>54000000</v>
      </c>
      <c r="C4" s="6" t="n">
        <v>58300000</v>
      </c>
      <c r="D4" s="6" t="n">
        <v>61200000</v>
      </c>
    </row>
    <row r="5">
      <c r="A5" s="3" t="inlineStr">
        <is>
          <t>Cartagena</t>
        </is>
      </c>
      <c r="B5" s="4" t="n">
        <v>22100000</v>
      </c>
      <c r="C5" s="4" t="n">
        <v>24500000</v>
      </c>
      <c r="D5" s="4" t="n">
        <v>26800000</v>
      </c>
    </row>
    <row r="6">
      <c r="A6" s="5" t="inlineStr">
        <is>
          <t>Medellín</t>
        </is>
      </c>
      <c r="B6" s="6" t="n">
        <v>28000000</v>
      </c>
      <c r="C6" s="6" t="n">
        <v>30500000</v>
      </c>
      <c r="D6" s="6" t="n">
        <v>33200000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PANEL DE BÚSQUEDA — PRACTICA INDICE+COINCIDIR</t>
        </is>
      </c>
    </row>
    <row r="3">
      <c r="A3" t="inlineStr">
        <is>
          <t>Ciudad a buscar:</t>
        </is>
      </c>
      <c r="B3" s="7" t="inlineStr">
        <is>
          <t>Barranquilla</t>
        </is>
      </c>
    </row>
    <row r="4">
      <c r="A4" t="inlineStr">
        <is>
          <t>Mes a buscar:</t>
        </is>
      </c>
      <c r="B4" s="7" t="inlineStr">
        <is>
          <t>Febrero</t>
        </is>
      </c>
    </row>
    <row r="6">
      <c r="A6" s="8" t="inlineStr">
        <is>
          <t>RESULTADO — Ventas:</t>
        </is>
      </c>
      <c r="B6" s="9">
        <f>IFERROR(INDICE(Ventas_Trimestre!B3:D6,COINCIDIR(B3,Ventas_Trimestre!A3:A6,0),COINCIDIR(B4,Ventas_Trimestre!B2:D2,0)),"No encontrado")</f>
        <v/>
      </c>
    </row>
    <row r="8">
      <c r="A8" s="10" t="inlineStr">
        <is>
          <t>Instrucción: Cambia B3 y B4 para ver diferentes resultados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ANÁLISIS DE NÓMINA CON SUMAR.SI — CONTAR.SI — PROMEDIO.SI</t>
        </is>
      </c>
    </row>
    <row r="3">
      <c r="A3" s="11" t="inlineStr">
        <is>
          <t>RESUMEN POR DEPARTAMENTO</t>
        </is>
      </c>
    </row>
    <row r="4">
      <c r="A4" s="2" t="inlineStr">
        <is>
          <t>DEPARTAMENTO</t>
        </is>
      </c>
      <c r="B4" s="2" t="inlineStr">
        <is>
          <t>TOTAL_NOMINA</t>
        </is>
      </c>
      <c r="C4" s="2" t="inlineStr">
        <is>
          <t>NRO_EMPLEADOS</t>
        </is>
      </c>
      <c r="D4" s="2" t="inlineStr">
        <is>
          <t>SALARIO_PROMEDIO</t>
        </is>
      </c>
    </row>
    <row r="5">
      <c r="A5" s="3" t="inlineStr">
        <is>
          <t>Ventas</t>
        </is>
      </c>
      <c r="B5" s="4">
        <f>SUMAR.SI(Empleados!$C:$C,A5,Empleados!$F:$F)</f>
        <v/>
      </c>
      <c r="C5" s="3">
        <f>CONTAR.SI(Empleados!$C:$C,A5)</f>
        <v/>
      </c>
      <c r="D5" s="4">
        <f>IFERROR(B5/C5,0)</f>
        <v/>
      </c>
    </row>
    <row r="6">
      <c r="A6" s="5" t="inlineStr">
        <is>
          <t>Contabilidad</t>
        </is>
      </c>
      <c r="B6" s="6">
        <f>SUMAR.SI(Empleados!$C:$C,A6,Empleados!$F:$F)</f>
        <v/>
      </c>
      <c r="C6" s="5">
        <f>CONTAR.SI(Empleados!$C:$C,A6)</f>
        <v/>
      </c>
      <c r="D6" s="6">
        <f>IFERROR(B6/C6,0)</f>
        <v/>
      </c>
    </row>
    <row r="7">
      <c r="A7" s="3" t="inlineStr">
        <is>
          <t>Logística</t>
        </is>
      </c>
      <c r="B7" s="4">
        <f>SUMAR.SI(Empleados!$C:$C,A7,Empleados!$F:$F)</f>
        <v/>
      </c>
      <c r="C7" s="3">
        <f>CONTAR.SI(Empleados!$C:$C,A7)</f>
        <v/>
      </c>
      <c r="D7" s="4">
        <f>IFERROR(B7/C7,0)</f>
        <v/>
      </c>
    </row>
    <row r="8">
      <c r="A8" s="5" t="inlineStr">
        <is>
          <t>RRHH</t>
        </is>
      </c>
      <c r="B8" s="6">
        <f>SUMAR.SI(Empleados!$C:$C,A8,Empleados!$F:$F)</f>
        <v/>
      </c>
      <c r="C8" s="5">
        <f>CONTAR.SI(Empleados!$C:$C,A8)</f>
        <v/>
      </c>
      <c r="D8" s="6">
        <f>IFERROR(B8/C8,0)</f>
        <v/>
      </c>
    </row>
    <row r="9">
      <c r="A9" s="3" t="inlineStr">
        <is>
          <t>Gerencia</t>
        </is>
      </c>
      <c r="B9" s="4">
        <f>SUMAR.SI(Empleados!$C:$C,A9,Empleados!$F:$F)</f>
        <v/>
      </c>
      <c r="C9" s="3">
        <f>CONTAR.SI(Empleados!$C:$C,A9)</f>
        <v/>
      </c>
      <c r="D9" s="4">
        <f>IFERROR(B9/C9,0)</f>
        <v/>
      </c>
    </row>
    <row r="10">
      <c r="A10" s="5" t="inlineStr">
        <is>
          <t>IT</t>
        </is>
      </c>
      <c r="B10" s="6">
        <f>SUMAR.SI(Empleados!$C:$C,A10,Empleados!$F:$F)</f>
        <v/>
      </c>
      <c r="C10" s="5">
        <f>CONTAR.SI(Empleados!$C:$C,A10)</f>
        <v/>
      </c>
      <c r="D10" s="6">
        <f>IFERROR(B10/C10,0)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2" t="inlineStr">
        <is>
          <t>ACTIVIDAD PRÁCTICA — DÍA 2: INDICE+COINCIDIR y SUMAR.SI</t>
        </is>
      </c>
    </row>
    <row r="2">
      <c r="A2" s="13" t="inlineStr"/>
    </row>
    <row r="3">
      <c r="A3" s="14" t="inlineStr">
        <is>
          <t>PARTE 1 — BÚSQUEDA BIDIRECCIONAL (20 min)</t>
        </is>
      </c>
    </row>
    <row r="4">
      <c r="A4" s="13" t="inlineStr">
        <is>
          <t>1. Ve a la hoja "Panel_Busqueda"</t>
        </is>
      </c>
    </row>
    <row r="5">
      <c r="A5" s="13" t="inlineStr">
        <is>
          <t>2. Cambia la ciudad en B3 a "Bogotá" — ¿qué pasa con el resultado?</t>
        </is>
      </c>
    </row>
    <row r="6">
      <c r="A6" s="13" t="inlineStr">
        <is>
          <t>3. Cambia el mes en B4 a "Marzo"</t>
        </is>
      </c>
    </row>
    <row r="7">
      <c r="A7" s="13" t="inlineStr">
        <is>
          <t>4. Explica con tus palabras cómo funciona la fórmula INDICE+COINCIDIR</t>
        </is>
      </c>
    </row>
    <row r="8">
      <c r="A8" s="13" t="inlineStr"/>
    </row>
    <row r="9">
      <c r="A9" s="14" t="inlineStr">
        <is>
          <t>PARTE 2 — ANÁLISIS DE NÓMINA (20 min)</t>
        </is>
      </c>
    </row>
    <row r="10">
      <c r="A10" s="13" t="inlineStr">
        <is>
          <t>1. Ve a la hoja "Practica_SUMARSI"</t>
        </is>
      </c>
    </row>
    <row r="11">
      <c r="A11" s="13" t="inlineStr">
        <is>
          <t>2. Verifica que las fórmulas SUMAR.SI y CONTAR.SI funcionen correctamente</t>
        </is>
      </c>
    </row>
    <row r="12">
      <c r="A12" s="13" t="inlineStr">
        <is>
          <t>3. Agrega una fila "TOTAL EMPRESA" al final con la suma de toda la nómina</t>
        </is>
      </c>
    </row>
    <row r="13">
      <c r="A13" s="13" t="inlineStr">
        <is>
          <t>4. Crea una columna adicional "% DEL TOTAL" que muestre el porcentaje de cada depto</t>
        </is>
      </c>
    </row>
    <row r="14">
      <c r="A14" s="13" t="inlineStr"/>
    </row>
    <row r="15">
      <c r="A15" s="15" t="inlineStr">
        <is>
          <t>RETO: SUMAR.SI.CONJUNTO (15 min)</t>
        </is>
      </c>
    </row>
    <row r="16">
      <c r="A16" s="13" t="inlineStr">
        <is>
          <t>En una celda aparte, calcula el total de salarios de vendedores en Barranquilla</t>
        </is>
      </c>
    </row>
    <row r="17">
      <c r="A17" s="16" t="inlineStr">
        <is>
          <t>Pista: =SUMAR.SI.CONJUNTO(Empleados!F:F, Empleados!C:C,"Ventas", Empleados!E:E,"Barranquilla")</t>
        </is>
      </c>
    </row>
    <row r="18">
      <c r="A18" s="13" t="inlineStr"/>
    </row>
    <row r="19">
      <c r="A19" s="17" t="inlineStr">
        <is>
          <t>Guarda como: Actividad_D2_TuNombre.xlsx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2026-06-18T23:11:53Z</dcterms:modified>
</cp:coreProperties>
</file>