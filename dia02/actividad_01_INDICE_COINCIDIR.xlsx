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Base_Empleados" sheetId="2" state="visible" r:id="rId2"/>
    <sheet xmlns:r="http://schemas.openxmlformats.org/officeDocument/2006/relationships" name="PASO_1_COINCIDIR" sheetId="3" state="visible" r:id="rId3"/>
    <sheet xmlns:r="http://schemas.openxmlformats.org/officeDocument/2006/relationships" name="PASO_2_INDICE" sheetId="4" state="visible" r:id="rId4"/>
    <sheet xmlns:r="http://schemas.openxmlformats.org/officeDocument/2006/relationships" name="PASO_3_COMBINADAS" sheetId="5" state="visible" r:id="rId5"/>
    <sheet xmlns:r="http://schemas.openxmlformats.org/officeDocument/2006/relationships" name="RETO_Bidireccional" sheetId="6" state="visible" r:id="rId6"/>
  </sheets>
  <definedNames>
    <definedName name="_xlnm._FilterDatabase" localSheetId="1" hidden="1">'Base_Empleados'!$A$2:$H$2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4">
    <font>
      <name val="Calibri"/>
      <family val="2"/>
      <color theme="1"/>
      <sz val="11"/>
      <scheme val="minor"/>
    </font>
    <font>
      <b val="1"/>
      <color rgb="007C6FF0"/>
      <sz val="16"/>
    </font>
    <font>
      <color rgb="00888888"/>
      <sz val="10"/>
    </font>
    <font>
      <color rgb="00333333"/>
      <sz val="10"/>
    </font>
    <font>
      <b val="1"/>
      <color rgb="007C6FF0"/>
      <sz val="12"/>
    </font>
    <font>
      <color rgb="000070C0"/>
      <sz val="10"/>
    </font>
    <font>
      <b val="1"/>
      <color rgb="00E05050"/>
      <sz val="11"/>
    </font>
    <font>
      <b val="1"/>
      <color rgb="007C6FF0"/>
      <sz val="13"/>
    </font>
    <font>
      <b val="1"/>
      <color rgb="00FFFFFF"/>
      <sz val="10"/>
    </font>
    <font>
      <i val="1"/>
      <color rgb="00888888"/>
      <sz val="9"/>
    </font>
    <font>
      <b val="1"/>
      <color rgb="00333333"/>
      <sz val="10"/>
    </font>
    <font>
      <i val="1"/>
      <color rgb="00888888"/>
      <sz val="10"/>
    </font>
    <font>
      <b val="1"/>
      <color rgb="001AB87A"/>
      <sz val="10"/>
    </font>
    <font>
      <color rgb="00555555"/>
      <sz val="10"/>
    </font>
    <font>
      <i val="1"/>
      <color rgb="00999999"/>
      <sz val="10"/>
    </font>
    <font>
      <b val="1"/>
      <color rgb="00F0B429"/>
      <sz val="10"/>
    </font>
    <font>
      <b val="1"/>
      <color rgb="007C6FF0"/>
      <sz val="10"/>
    </font>
    <font>
      <b val="1"/>
      <color rgb="000070C0"/>
      <sz val="10"/>
    </font>
    <font>
      <b val="1"/>
      <color rgb="007C6FF0"/>
      <sz val="11"/>
    </font>
    <font>
      <b val="1"/>
      <sz val="10"/>
    </font>
    <font>
      <b val="1"/>
      <color rgb="00F0B429"/>
      <sz val="11"/>
    </font>
    <font>
      <b val="1"/>
      <color rgb="007C6FF0"/>
    </font>
    <font>
      <b val="1"/>
      <color rgb="007C6FF0"/>
      <sz val="14"/>
    </font>
    <font>
      <i val="1"/>
      <color rgb="00AAAAAA"/>
      <sz val="8"/>
    </font>
  </fonts>
  <fills count="7">
    <fill>
      <patternFill/>
    </fill>
    <fill>
      <patternFill patternType="gray125"/>
    </fill>
    <fill>
      <patternFill patternType="solid">
        <fgColor rgb="007C6FF0"/>
      </patternFill>
    </fill>
    <fill>
      <patternFill patternType="solid">
        <fgColor rgb="00FFFFFF"/>
      </patternFill>
    </fill>
    <fill>
      <patternFill patternType="solid">
        <fgColor rgb="00F0EEFF"/>
      </patternFill>
    </fill>
    <fill>
      <patternFill patternType="solid">
        <fgColor rgb="00E8F8F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0" borderId="0" pivotButton="0" quotePrefix="0" xfId="0"/>
    <xf numFmtId="0" fontId="16" fillId="4" borderId="1" applyAlignment="1" pivotButton="0" quotePrefix="0" xfId="0">
      <alignment horizontal="center" vertical="center"/>
    </xf>
    <xf numFmtId="0" fontId="9" fillId="0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6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/>
    </xf>
    <xf numFmtId="0" fontId="4" fillId="4" borderId="1" pivotButton="0" quotePrefix="0" xfId="0"/>
    <xf numFmtId="164" fontId="4" fillId="4" borderId="1" pivotButton="0" quotePrefix="0" xfId="0"/>
    <xf numFmtId="0" fontId="20" fillId="0" borderId="0" pivotButton="0" quotePrefix="0" xfId="0"/>
    <xf numFmtId="0" fontId="21" fillId="6" borderId="1" pivotButton="0" quotePrefix="0" xfId="0"/>
    <xf numFmtId="164" fontId="22" fillId="4" borderId="1" pivotButton="0" quotePrefix="0" xfId="0"/>
    <xf numFmtId="0" fontId="2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5" customHeight="1">
      <c r="A1" s="1" t="inlineStr">
        <is>
          <t>ACTIVIDAD 1 — INDICE + COINCIDIR</t>
        </is>
      </c>
    </row>
    <row r="2">
      <c r="A2" s="2" t="inlineStr">
        <is>
          <t>DÍA 2 | Módulo 11 — Ofimática Avanzada | INTEBIEN S.A.S.</t>
        </is>
      </c>
    </row>
    <row r="3">
      <c r="A3" s="3" t="inlineStr"/>
    </row>
    <row r="4">
      <c r="A4" s="4" t="inlineStr">
        <is>
          <t>¿QUÉ APRENDERÁS?</t>
        </is>
      </c>
    </row>
    <row r="5">
      <c r="A5" s="3" t="inlineStr">
        <is>
          <t>Aprenderás a combinar INDICE + COINCIDIR para hacer búsquedas flexibles en cualquier dirección.</t>
        </is>
      </c>
    </row>
    <row r="6">
      <c r="A6" s="3" t="inlineStr">
        <is>
          <t>Esta combinación es el estándar profesional que supera a BUSCARV en todos los escenarios avanzados.</t>
        </is>
      </c>
    </row>
    <row r="7">
      <c r="A7" s="3" t="inlineStr"/>
    </row>
    <row r="8">
      <c r="A8" s="4" t="inlineStr">
        <is>
          <t>ESTRUCTURA DE ESTA ACTIVIDAD</t>
        </is>
      </c>
    </row>
    <row r="9">
      <c r="A9" s="3" t="inlineStr">
        <is>
          <t xml:space="preserve">  Hoja 2 — Base_Empleados   : Los datos que usarás como fuente de búsqueda (20 empleados)</t>
        </is>
      </c>
    </row>
    <row r="10">
      <c r="A10" s="3" t="inlineStr">
        <is>
          <t xml:space="preserve">  Hoja 3 — PASO_1_COINCIDIR : Practica COINCIDIR sola (encontrar posición de un valor)</t>
        </is>
      </c>
    </row>
    <row r="11">
      <c r="A11" s="3" t="inlineStr">
        <is>
          <t xml:space="preserve">  Hoja 4 — PASO_2_INDICE    : Practica INDICE sola (obtener un valor por posición)</t>
        </is>
      </c>
    </row>
    <row r="12">
      <c r="A12" s="3" t="inlineStr">
        <is>
          <t xml:space="preserve">  Hoja 5 — PASO_3_COMBINADAS: Combina ambas — el poder de INDICE+COINCIDIR</t>
        </is>
      </c>
    </row>
    <row r="13">
      <c r="A13" s="3" t="inlineStr">
        <is>
          <t xml:space="preserve">  Hoja 6 — RETO_Bidireccional: Búsqueda en filas Y columnas (nivel avanzado)</t>
        </is>
      </c>
    </row>
    <row r="14">
      <c r="A14" s="3" t="inlineStr"/>
    </row>
    <row r="15">
      <c r="A15" s="4" t="inlineStr">
        <is>
          <t>INSTRUCCIONES GENERALES</t>
        </is>
      </c>
    </row>
    <row r="16">
      <c r="A16" s="3" t="inlineStr">
        <is>
          <t xml:space="preserve">  1. Lee cada hoja en orden (PASO_1 → PASO_2 → PASO_3 → RETO)</t>
        </is>
      </c>
    </row>
    <row r="17">
      <c r="A17" s="3" t="inlineStr">
        <is>
          <t xml:space="preserve">  2. Las celdas en AMARILLO son donde debes escribir tus fórmulas</t>
        </is>
      </c>
    </row>
    <row r="18">
      <c r="A18" s="3" t="inlineStr">
        <is>
          <t xml:space="preserve">  3. Las celdas en VERDE claro son el resultado esperado (para verificar)</t>
        </is>
      </c>
    </row>
    <row r="19">
      <c r="A19" s="3" t="inlineStr">
        <is>
          <t xml:space="preserve">  4. Empieza con los ejemplos resueltos, luego intenta los ejercicios vacíos</t>
        </is>
      </c>
    </row>
    <row r="20">
      <c r="A20" s="3" t="inlineStr">
        <is>
          <t xml:space="preserve">  5. Si te trabas, revisa la fórmula del ejemplo de arriba como pista</t>
        </is>
      </c>
    </row>
    <row r="21">
      <c r="A21" s="3" t="inlineStr"/>
    </row>
    <row r="22">
      <c r="A22" s="4" t="inlineStr">
        <is>
          <t>FÓRMULAS CLAVE</t>
        </is>
      </c>
    </row>
    <row r="23">
      <c r="A23" s="5" t="inlineStr">
        <is>
          <t xml:space="preserve">  COINCIDIR:          =COINCIDIR(valor_buscado, rango_busqueda, 0)</t>
        </is>
      </c>
    </row>
    <row r="24">
      <c r="A24" s="5" t="inlineStr">
        <is>
          <t xml:space="preserve">  INDICE:             =INDICE(rango_resultado, numero_fila)</t>
        </is>
      </c>
    </row>
    <row r="25">
      <c r="A25" s="5" t="inlineStr">
        <is>
          <t xml:space="preserve">  INDICE+COINCIDIR:   =INDICE(col_resultado, COINCIDIR(valor, col_busqueda, 0))</t>
        </is>
      </c>
    </row>
    <row r="26">
      <c r="A26" s="5" t="inlineStr">
        <is>
          <t xml:space="preserve">  Bidireccional:      =INDICE(tabla, COINCIDIR(fila,col_filas,0), COINCIDIR(col,fila_cols,0))</t>
        </is>
      </c>
    </row>
    <row r="27">
      <c r="A27" s="3" t="inlineStr"/>
    </row>
    <row r="28">
      <c r="A28" s="6" t="inlineStr">
        <is>
          <t>ENTREGA: Guarda como  Actividad1_IC_TuNombre.xlsx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4" customWidth="1" min="4" max="4"/>
    <col width="14" customWidth="1" min="5" max="5"/>
    <col width="13" customWidth="1" min="6" max="6"/>
    <col width="13" customWidth="1" min="7" max="7"/>
    <col width="12" customWidth="1" min="8" max="8"/>
  </cols>
  <sheetData>
    <row r="1" ht="22" customHeight="1">
      <c r="A1" s="7" t="inlineStr">
        <is>
          <t>BASE DE DATOS — EMPLEADOS ADMIN CARIBE S.A.S. (Fuente de búsqueda)</t>
        </is>
      </c>
    </row>
    <row r="2">
      <c r="A2" s="8" t="inlineStr">
        <is>
          <t>ID</t>
        </is>
      </c>
      <c r="B2" s="8" t="inlineStr">
        <is>
          <t>NOMBRE_COMPLETO</t>
        </is>
      </c>
      <c r="C2" s="8" t="inlineStr">
        <is>
          <t>DEPARTAMENTO</t>
        </is>
      </c>
      <c r="D2" s="8" t="inlineStr">
        <is>
          <t>CARGO</t>
        </is>
      </c>
      <c r="E2" s="8" t="inlineStr">
        <is>
          <t>CIUDAD</t>
        </is>
      </c>
      <c r="F2" s="8" t="inlineStr">
        <is>
          <t>SALARIO</t>
        </is>
      </c>
      <c r="G2" s="8" t="inlineStr">
        <is>
          <t>ANTIGUEDAD</t>
        </is>
      </c>
      <c r="H2" s="8" t="inlineStr">
        <is>
          <t>BONO</t>
        </is>
      </c>
    </row>
    <row r="3">
      <c r="A3" s="9" t="inlineStr">
        <is>
          <t>E001</t>
        </is>
      </c>
      <c r="B3" s="9" t="inlineStr">
        <is>
          <t>Ana Torres Herrera</t>
        </is>
      </c>
      <c r="C3" s="9" t="inlineStr">
        <is>
          <t>Administración</t>
        </is>
      </c>
      <c r="D3" s="9" t="inlineStr">
        <is>
          <t>Auxiliar Admin</t>
        </is>
      </c>
      <c r="E3" s="9" t="inlineStr">
        <is>
          <t>Barranquilla</t>
        </is>
      </c>
      <c r="F3" s="10" t="n">
        <v>1850000</v>
      </c>
      <c r="G3" s="9" t="n">
        <v>2</v>
      </c>
      <c r="H3" s="10" t="n">
        <v>0</v>
      </c>
    </row>
    <row r="4">
      <c r="A4" s="11" t="inlineStr">
        <is>
          <t>E002</t>
        </is>
      </c>
      <c r="B4" s="11" t="inlineStr">
        <is>
          <t>Carlos Martínez López</t>
        </is>
      </c>
      <c r="C4" s="11" t="inlineStr">
        <is>
          <t>Ventas</t>
        </is>
      </c>
      <c r="D4" s="11" t="inlineStr">
        <is>
          <t>Vendedor Senior</t>
        </is>
      </c>
      <c r="E4" s="11" t="inlineStr">
        <is>
          <t>Barranquilla</t>
        </is>
      </c>
      <c r="F4" s="12" t="n">
        <v>2900000</v>
      </c>
      <c r="G4" s="11" t="n">
        <v>5</v>
      </c>
      <c r="H4" s="12" t="n">
        <v>290000</v>
      </c>
    </row>
    <row r="5">
      <c r="A5" s="9" t="inlineStr">
        <is>
          <t>E003</t>
        </is>
      </c>
      <c r="B5" s="9" t="inlineStr">
        <is>
          <t>María Rodríguez Díaz</t>
        </is>
      </c>
      <c r="C5" s="9" t="inlineStr">
        <is>
          <t>Contabilidad</t>
        </is>
      </c>
      <c r="D5" s="9" t="inlineStr">
        <is>
          <t>Auxiliar Contable</t>
        </is>
      </c>
      <c r="E5" s="9" t="inlineStr">
        <is>
          <t>Barranquilla</t>
        </is>
      </c>
      <c r="F5" s="10" t="n">
        <v>1950000</v>
      </c>
      <c r="G5" s="9" t="n">
        <v>3</v>
      </c>
      <c r="H5" s="10" t="n">
        <v>0</v>
      </c>
    </row>
    <row r="6">
      <c r="A6" s="11" t="inlineStr">
        <is>
          <t>E004</t>
        </is>
      </c>
      <c r="B6" s="11" t="inlineStr">
        <is>
          <t>Juan García Peña</t>
        </is>
      </c>
      <c r="C6" s="11" t="inlineStr">
        <is>
          <t>Logística</t>
        </is>
      </c>
      <c r="D6" s="11" t="inlineStr">
        <is>
          <t>Coordinador Logístico</t>
        </is>
      </c>
      <c r="E6" s="11" t="inlineStr">
        <is>
          <t>Bogotá</t>
        </is>
      </c>
      <c r="F6" s="12" t="n">
        <v>3300000</v>
      </c>
      <c r="G6" s="11" t="n">
        <v>7</v>
      </c>
      <c r="H6" s="12" t="n">
        <v>330000</v>
      </c>
    </row>
    <row r="7">
      <c r="A7" s="9" t="inlineStr">
        <is>
          <t>E005</t>
        </is>
      </c>
      <c r="B7" s="9" t="inlineStr">
        <is>
          <t>Laura Díaz Castro</t>
        </is>
      </c>
      <c r="C7" s="9" t="inlineStr">
        <is>
          <t>Gerencia</t>
        </is>
      </c>
      <c r="D7" s="9" t="inlineStr">
        <is>
          <t>Asistente de Gerencia</t>
        </is>
      </c>
      <c r="E7" s="9" t="inlineStr">
        <is>
          <t>Barranquilla</t>
        </is>
      </c>
      <c r="F7" s="10" t="n">
        <v>2600000</v>
      </c>
      <c r="G7" s="9" t="n">
        <v>4</v>
      </c>
      <c r="H7" s="10" t="n">
        <v>260000</v>
      </c>
    </row>
    <row r="8">
      <c r="A8" s="11" t="inlineStr">
        <is>
          <t>E006</t>
        </is>
      </c>
      <c r="B8" s="11" t="inlineStr">
        <is>
          <t>Pedro Herrera Ruiz</t>
        </is>
      </c>
      <c r="C8" s="11" t="inlineStr">
        <is>
          <t>Ventas</t>
        </is>
      </c>
      <c r="D8" s="11" t="inlineStr">
        <is>
          <t>Vendedor Junior</t>
        </is>
      </c>
      <c r="E8" s="11" t="inlineStr">
        <is>
          <t>Cartagena</t>
        </is>
      </c>
      <c r="F8" s="12" t="n">
        <v>1750000</v>
      </c>
      <c r="G8" s="11" t="n">
        <v>1</v>
      </c>
      <c r="H8" s="12" t="n">
        <v>0</v>
      </c>
    </row>
    <row r="9">
      <c r="A9" s="9" t="inlineStr">
        <is>
          <t>E007</t>
        </is>
      </c>
      <c r="B9" s="9" t="inlineStr">
        <is>
          <t>Sandra Gómez Vargas</t>
        </is>
      </c>
      <c r="C9" s="9" t="inlineStr">
        <is>
          <t>Ventas</t>
        </is>
      </c>
      <c r="D9" s="9" t="inlineStr">
        <is>
          <t>Vendedora Senior</t>
        </is>
      </c>
      <c r="E9" s="9" t="inlineStr">
        <is>
          <t>Bogotá</t>
        </is>
      </c>
      <c r="F9" s="10" t="n">
        <v>3000000</v>
      </c>
      <c r="G9" s="9" t="n">
        <v>6</v>
      </c>
      <c r="H9" s="10" t="n">
        <v>300000</v>
      </c>
    </row>
    <row r="10">
      <c r="A10" s="11" t="inlineStr">
        <is>
          <t>E008</t>
        </is>
      </c>
      <c r="B10" s="11" t="inlineStr">
        <is>
          <t>Miguel López Silva</t>
        </is>
      </c>
      <c r="C10" s="11" t="inlineStr">
        <is>
          <t>Logística</t>
        </is>
      </c>
      <c r="D10" s="11" t="inlineStr">
        <is>
          <t>Auxiliar Logístico</t>
        </is>
      </c>
      <c r="E10" s="11" t="inlineStr">
        <is>
          <t>Barranquilla</t>
        </is>
      </c>
      <c r="F10" s="12" t="n">
        <v>1700000</v>
      </c>
      <c r="G10" s="11" t="n">
        <v>2</v>
      </c>
      <c r="H10" s="12" t="n">
        <v>0</v>
      </c>
    </row>
    <row r="11">
      <c r="A11" s="9" t="inlineStr">
        <is>
          <t>E009</t>
        </is>
      </c>
      <c r="B11" s="9" t="inlineStr">
        <is>
          <t>Diana Moreno Castillo</t>
        </is>
      </c>
      <c r="C11" s="9" t="inlineStr">
        <is>
          <t>RRHH</t>
        </is>
      </c>
      <c r="D11" s="9" t="inlineStr">
        <is>
          <t>Analista RRHH</t>
        </is>
      </c>
      <c r="E11" s="9" t="inlineStr">
        <is>
          <t>Barranquilla</t>
        </is>
      </c>
      <c r="F11" s="10" t="n">
        <v>2200000</v>
      </c>
      <c r="G11" s="9" t="n">
        <v>3</v>
      </c>
      <c r="H11" s="10" t="n">
        <v>0</v>
      </c>
    </row>
    <row r="12">
      <c r="A12" s="11" t="inlineStr">
        <is>
          <t>E010</t>
        </is>
      </c>
      <c r="B12" s="11" t="inlineStr">
        <is>
          <t>Luis Vargas Ospina</t>
        </is>
      </c>
      <c r="C12" s="11" t="inlineStr">
        <is>
          <t>Contabilidad</t>
        </is>
      </c>
      <c r="D12" s="11" t="inlineStr">
        <is>
          <t>Contador Jr</t>
        </is>
      </c>
      <c r="E12" s="11" t="inlineStr">
        <is>
          <t>Medellín</t>
        </is>
      </c>
      <c r="F12" s="12" t="n">
        <v>2400000</v>
      </c>
      <c r="G12" s="11" t="n">
        <v>3</v>
      </c>
      <c r="H12" s="12" t="n">
        <v>0</v>
      </c>
    </row>
    <row r="13">
      <c r="A13" s="9" t="inlineStr">
        <is>
          <t>E011</t>
        </is>
      </c>
      <c r="B13" s="9" t="inlineStr">
        <is>
          <t>Roberto Silva Mejía</t>
        </is>
      </c>
      <c r="C13" s="9" t="inlineStr">
        <is>
          <t>IT</t>
        </is>
      </c>
      <c r="D13" s="9" t="inlineStr">
        <is>
          <t>Soporte Técnico</t>
        </is>
      </c>
      <c r="E13" s="9" t="inlineStr">
        <is>
          <t>Bogotá</t>
        </is>
      </c>
      <c r="F13" s="10" t="n">
        <v>2500000</v>
      </c>
      <c r="G13" s="9" t="n">
        <v>4</v>
      </c>
      <c r="H13" s="10" t="n">
        <v>0</v>
      </c>
    </row>
    <row r="14">
      <c r="A14" s="11" t="inlineStr">
        <is>
          <t>E012</t>
        </is>
      </c>
      <c r="B14" s="11" t="inlineStr">
        <is>
          <t>Valeria Gómez Arbeláez</t>
        </is>
      </c>
      <c r="C14" s="11" t="inlineStr">
        <is>
          <t>Gerencia</t>
        </is>
      </c>
      <c r="D14" s="11" t="inlineStr">
        <is>
          <t>Gerente Comercial</t>
        </is>
      </c>
      <c r="E14" s="11" t="inlineStr">
        <is>
          <t>Barranquilla</t>
        </is>
      </c>
      <c r="F14" s="12" t="n">
        <v>5800000</v>
      </c>
      <c r="G14" s="11" t="n">
        <v>9</v>
      </c>
      <c r="H14" s="12" t="n">
        <v>580000</v>
      </c>
    </row>
    <row r="15">
      <c r="A15" s="9" t="inlineStr">
        <is>
          <t>E013</t>
        </is>
      </c>
      <c r="B15" s="9" t="inlineStr">
        <is>
          <t>Andrés Castro Blanco</t>
        </is>
      </c>
      <c r="C15" s="9" t="inlineStr">
        <is>
          <t>Ventas</t>
        </is>
      </c>
      <c r="D15" s="9" t="inlineStr">
        <is>
          <t>Vendedor Senior</t>
        </is>
      </c>
      <c r="E15" s="9" t="inlineStr">
        <is>
          <t>Barranquilla</t>
        </is>
      </c>
      <c r="F15" s="10" t="n">
        <v>2800000</v>
      </c>
      <c r="G15" s="9" t="n">
        <v>5</v>
      </c>
      <c r="H15" s="10" t="n">
        <v>280000</v>
      </c>
    </row>
    <row r="16">
      <c r="A16" s="11" t="inlineStr">
        <is>
          <t>E014</t>
        </is>
      </c>
      <c r="B16" s="11" t="inlineStr">
        <is>
          <t>Patricia Ruiz Molina</t>
        </is>
      </c>
      <c r="C16" s="11" t="inlineStr">
        <is>
          <t>Administración</t>
        </is>
      </c>
      <c r="D16" s="11" t="inlineStr">
        <is>
          <t>Recepcionista</t>
        </is>
      </c>
      <c r="E16" s="11" t="inlineStr">
        <is>
          <t>Barranquilla</t>
        </is>
      </c>
      <c r="F16" s="12" t="n">
        <v>1600000</v>
      </c>
      <c r="G16" s="11" t="n">
        <v>1</v>
      </c>
      <c r="H16" s="12" t="n">
        <v>0</v>
      </c>
    </row>
    <row r="17">
      <c r="A17" s="9" t="inlineStr">
        <is>
          <t>E015</t>
        </is>
      </c>
      <c r="B17" s="9" t="inlineStr">
        <is>
          <t>Felipe Torres Jiménez</t>
        </is>
      </c>
      <c r="C17" s="9" t="inlineStr">
        <is>
          <t>Logística</t>
        </is>
      </c>
      <c r="D17" s="9" t="inlineStr">
        <is>
          <t>Jefe de Bodega</t>
        </is>
      </c>
      <c r="E17" s="9" t="inlineStr">
        <is>
          <t>Bogotá</t>
        </is>
      </c>
      <c r="F17" s="10" t="n">
        <v>3100000</v>
      </c>
      <c r="G17" s="9" t="n">
        <v>6</v>
      </c>
      <c r="H17" s="10" t="n">
        <v>310000</v>
      </c>
    </row>
    <row r="18">
      <c r="A18" s="11" t="inlineStr">
        <is>
          <t>E016</t>
        </is>
      </c>
      <c r="B18" s="11" t="inlineStr">
        <is>
          <t>Carolina Pérez Ávila</t>
        </is>
      </c>
      <c r="C18" s="11" t="inlineStr">
        <is>
          <t>Contabilidad</t>
        </is>
      </c>
      <c r="D18" s="11" t="inlineStr">
        <is>
          <t>Contadora Senior</t>
        </is>
      </c>
      <c r="E18" s="11" t="inlineStr">
        <is>
          <t>Barranquilla</t>
        </is>
      </c>
      <c r="F18" s="12" t="n">
        <v>3500000</v>
      </c>
      <c r="G18" s="11" t="n">
        <v>8</v>
      </c>
      <c r="H18" s="12" t="n">
        <v>350000</v>
      </c>
    </row>
    <row r="19">
      <c r="A19" s="9" t="inlineStr">
        <is>
          <t>E017</t>
        </is>
      </c>
      <c r="B19" s="9" t="inlineStr">
        <is>
          <t>Hernando Morales Cano</t>
        </is>
      </c>
      <c r="C19" s="9" t="inlineStr">
        <is>
          <t>Ventas</t>
        </is>
      </c>
      <c r="D19" s="9" t="inlineStr">
        <is>
          <t>Vendedor Junior</t>
        </is>
      </c>
      <c r="E19" s="9" t="inlineStr">
        <is>
          <t>Cartagena</t>
        </is>
      </c>
      <c r="F19" s="10" t="n">
        <v>1700000</v>
      </c>
      <c r="G19" s="9" t="n">
        <v>1</v>
      </c>
      <c r="H19" s="10" t="n">
        <v>0</v>
      </c>
    </row>
    <row r="20">
      <c r="A20" s="11" t="inlineStr">
        <is>
          <t>E018</t>
        </is>
      </c>
      <c r="B20" s="11" t="inlineStr">
        <is>
          <t>Lucía Fernández Suárez</t>
        </is>
      </c>
      <c r="C20" s="11" t="inlineStr">
        <is>
          <t>RRHH</t>
        </is>
      </c>
      <c r="D20" s="11" t="inlineStr">
        <is>
          <t>Jefe RRHH</t>
        </is>
      </c>
      <c r="E20" s="11" t="inlineStr">
        <is>
          <t>Barranquilla</t>
        </is>
      </c>
      <c r="F20" s="12" t="n">
        <v>4200000</v>
      </c>
      <c r="G20" s="11" t="n">
        <v>7</v>
      </c>
      <c r="H20" s="12" t="n">
        <v>420000</v>
      </c>
    </row>
    <row r="21">
      <c r="A21" s="9" t="inlineStr">
        <is>
          <t>E019</t>
        </is>
      </c>
      <c r="B21" s="9" t="inlineStr">
        <is>
          <t>Camilo Ríos Becerra</t>
        </is>
      </c>
      <c r="C21" s="9" t="inlineStr">
        <is>
          <t>IT</t>
        </is>
      </c>
      <c r="D21" s="9" t="inlineStr">
        <is>
          <t>Desarrollador</t>
        </is>
      </c>
      <c r="E21" s="9" t="inlineStr">
        <is>
          <t>Bogotá</t>
        </is>
      </c>
      <c r="F21" s="10" t="n">
        <v>4500000</v>
      </c>
      <c r="G21" s="9" t="n">
        <v>5</v>
      </c>
      <c r="H21" s="10" t="n">
        <v>450000</v>
      </c>
    </row>
    <row r="22">
      <c r="A22" s="11" t="inlineStr">
        <is>
          <t>E020</t>
        </is>
      </c>
      <c r="B22" s="11" t="inlineStr">
        <is>
          <t>Natalia Vega Quintero</t>
        </is>
      </c>
      <c r="C22" s="11" t="inlineStr">
        <is>
          <t>Gerencia</t>
        </is>
      </c>
      <c r="D22" s="11" t="inlineStr">
        <is>
          <t>Gerente General</t>
        </is>
      </c>
      <c r="E22" s="11" t="inlineStr">
        <is>
          <t>Barranquilla</t>
        </is>
      </c>
      <c r="F22" s="12" t="n">
        <v>8500000</v>
      </c>
      <c r="G22" s="11" t="n">
        <v>12</v>
      </c>
      <c r="H22" s="12" t="n">
        <v>850000</v>
      </c>
    </row>
    <row r="24">
      <c r="A24" s="13" t="inlineStr">
        <is>
          <t>← No modifiques esta hoja. Es solo la fuente de datos.</t>
        </is>
      </c>
    </row>
  </sheetData>
  <autoFilter ref="A2:H2"/>
  <mergeCells count="2"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20" customWidth="1" min="4" max="4"/>
    <col width="40" customWidth="1" min="5" max="5"/>
  </cols>
  <sheetData>
    <row r="1" ht="22" customHeight="1">
      <c r="A1" s="7" t="inlineStr">
        <is>
          <t>PASO 1 — Función COINCIDIR: Encuentra la posición de un valor en un rango</t>
        </is>
      </c>
    </row>
    <row r="2">
      <c r="A2" s="14" t="inlineStr">
        <is>
          <t>¿QUÉ HACE COINCIDIR?  →  Devuelve el NÚMERO DE FILA donde se encuentra un valor dentro de un rango de una sola columna.</t>
        </is>
      </c>
    </row>
    <row r="3" ht="16" customHeight="1">
      <c r="A3" s="5" t="inlineStr">
        <is>
          <t>SINTAXIS:  =COINCIDIR( valor_buscado , rango_busqueda , 0 )   ← El 0 significa "coincidencia exacta" — SIEMPRE usar 0.</t>
        </is>
      </c>
    </row>
    <row r="5">
      <c r="A5" s="8" t="inlineStr">
        <is>
          <t>EMPLEADO A BUSCAR</t>
        </is>
      </c>
      <c r="B5" s="8" t="inlineStr">
        <is>
          <t>RANGO DE BÚSQUEDA</t>
        </is>
      </c>
      <c r="C5" s="8" t="inlineStr">
        <is>
          <t>TU FÓRMULA COINCIDIR</t>
        </is>
      </c>
      <c r="D5" s="8" t="inlineStr">
        <is>
          <t>POSICIÓN (respuesta)</t>
        </is>
      </c>
      <c r="E5" s="8" t="inlineStr">
        <is>
          <t>NOTA EXPLICATIVA</t>
        </is>
      </c>
    </row>
    <row r="6">
      <c r="A6" s="15" t="inlineStr">
        <is>
          <t>Ana Torres Herrera</t>
        </is>
      </c>
      <c r="B6" s="16" t="inlineStr">
        <is>
          <t>Base_Empleados!B3:B22</t>
        </is>
      </c>
      <c r="C6" s="17">
        <f>COINCIDIR("Ana Torres Herrera",Base_Empleados!$B$3:$B$22,0)</f>
        <v/>
      </c>
      <c r="D6" s="18" t="n">
        <v>1</v>
      </c>
      <c r="E6" s="19" t="inlineStr">
        <is>
          <t>Ejemplo resuelto — Ana es la primera empleada</t>
        </is>
      </c>
    </row>
    <row r="7">
      <c r="A7" s="15" t="inlineStr">
        <is>
          <t>Carlos Martínez López</t>
        </is>
      </c>
      <c r="B7" s="16" t="inlineStr">
        <is>
          <t>Base_Empleados!B3:B22</t>
        </is>
      </c>
      <c r="C7" s="17">
        <f>COINCIDIR("Carlos Martínez López",Base_Empleados!$B$3:$B$22,0)</f>
        <v/>
      </c>
      <c r="D7" s="18" t="n">
        <v>2</v>
      </c>
      <c r="E7" s="19" t="inlineStr">
        <is>
          <t>Ejemplo resuelto — Carlos es el segundo</t>
        </is>
      </c>
    </row>
    <row r="8">
      <c r="A8" s="15" t="inlineStr">
        <is>
          <t>Sandra Gómez Vargas</t>
        </is>
      </c>
      <c r="B8" s="16" t="inlineStr">
        <is>
          <t>Base_Empleados!B3:B22</t>
        </is>
      </c>
      <c r="C8" s="20" t="inlineStr">
        <is>
          <t>← Escribe aquí tu fórmula</t>
        </is>
      </c>
      <c r="D8" s="18" t="n">
        <v>7</v>
      </c>
      <c r="E8" s="19" t="inlineStr">
        <is>
          <t>Tu turno — escribe la fórmula en amarillo</t>
        </is>
      </c>
    </row>
    <row r="9">
      <c r="A9" s="15" t="inlineStr">
        <is>
          <t>Valeria Gómez Arbeláez</t>
        </is>
      </c>
      <c r="B9" s="16" t="inlineStr">
        <is>
          <t>Base_Empleados!B3:B22</t>
        </is>
      </c>
      <c r="C9" s="20" t="inlineStr">
        <is>
          <t>← Escribe aquí tu fórmula</t>
        </is>
      </c>
      <c r="D9" s="18" t="n">
        <v>12</v>
      </c>
      <c r="E9" s="19" t="inlineStr">
        <is>
          <t>Tu turno</t>
        </is>
      </c>
    </row>
    <row r="10">
      <c r="A10" s="15" t="inlineStr">
        <is>
          <t>Felipe Torres Jiménez</t>
        </is>
      </c>
      <c r="B10" s="16" t="inlineStr">
        <is>
          <t>Base_Empleados!B3:B22</t>
        </is>
      </c>
      <c r="C10" s="20" t="inlineStr">
        <is>
          <t>← Escribe aquí tu fórmula</t>
        </is>
      </c>
      <c r="D10" s="18" t="n">
        <v>15</v>
      </c>
      <c r="E10" s="19" t="inlineStr">
        <is>
          <t>Tu turno</t>
        </is>
      </c>
    </row>
    <row r="11">
      <c r="A11" s="15" t="inlineStr">
        <is>
          <t>Natalia Vega Quintero</t>
        </is>
      </c>
      <c r="B11" s="16" t="inlineStr">
        <is>
          <t>Base_Empleados!B3:B22</t>
        </is>
      </c>
      <c r="C11" s="20" t="inlineStr">
        <is>
          <t>← Escribe aquí tu fórmula</t>
        </is>
      </c>
      <c r="D11" s="18" t="n">
        <v>20</v>
      </c>
      <c r="E11" s="19" t="inlineStr">
        <is>
          <t>Tu turno — ¿qué número esperas?</t>
        </is>
      </c>
    </row>
    <row r="13">
      <c r="A13" t="inlineStr"/>
    </row>
    <row r="14">
      <c r="A14" s="21" t="inlineStr">
        <is>
          <t>TAREA ADICIONAL: Busca el ID del empleado que tiene salario = $8,500,000</t>
        </is>
      </c>
      <c r="E14" s="13" t="inlineStr">
        <is>
          <t>Pista: =COINCIDIR(8500000,Base_Empleados!$F$3:$F$22,0)</t>
        </is>
      </c>
    </row>
  </sheetData>
  <mergeCells count="4">
    <mergeCell ref="A2:E2"/>
    <mergeCell ref="A1:E1"/>
    <mergeCell ref="A14:D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22" customWidth="1" min="4" max="4"/>
    <col width="40" customWidth="1" min="5" max="5"/>
  </cols>
  <sheetData>
    <row r="1" ht="22" customHeight="1">
      <c r="A1" s="7" t="inlineStr">
        <is>
          <t>PASO 2 — Función INDICE: Devuelve el valor en una posición específica</t>
        </is>
      </c>
    </row>
    <row r="2">
      <c r="A2" s="14" t="inlineStr">
        <is>
          <t>¿QUÉ HACE INDICE?  →  Devuelve el VALOR que está en la fila N de un rango. Le das la posición, él te da el contenido.</t>
        </is>
      </c>
    </row>
    <row r="3">
      <c r="A3" s="5" t="inlineStr">
        <is>
          <t>SINTAXIS:  =INDICE( rango_resultado , numero_fila )   ← el número de fila es lo que encontró COINCIDIR en el paso anterior.</t>
        </is>
      </c>
    </row>
    <row r="5">
      <c r="A5" s="8" t="inlineStr">
        <is>
          <t>NÚMERO DE FILA (dato)</t>
        </is>
      </c>
      <c r="B5" s="8" t="inlineStr">
        <is>
          <t>COLUMNA A CONSULTAR</t>
        </is>
      </c>
      <c r="C5" s="8" t="inlineStr">
        <is>
          <t>TU FÓRMULA INDICE</t>
        </is>
      </c>
      <c r="D5" s="8" t="inlineStr">
        <is>
          <t>RESULTADO ESPERADO</t>
        </is>
      </c>
      <c r="E5" s="8" t="inlineStr">
        <is>
          <t>NOTA</t>
        </is>
      </c>
    </row>
    <row r="6">
      <c r="A6" s="22" t="n">
        <v>1</v>
      </c>
      <c r="B6" s="23" t="inlineStr">
        <is>
          <t>B3:B22</t>
        </is>
      </c>
      <c r="C6" s="17">
        <f>INDICE(Base_Empleados!B3:B22,1)</f>
        <v/>
      </c>
      <c r="D6" s="18" t="inlineStr">
        <is>
          <t>Ana Torres Herrera</t>
        </is>
      </c>
      <c r="E6" s="19" t="inlineStr">
        <is>
          <t>Fila 1 → primer empleado de la lista</t>
        </is>
      </c>
    </row>
    <row r="7">
      <c r="A7" s="22" t="n">
        <v>4</v>
      </c>
      <c r="B7" s="23" t="inlineStr">
        <is>
          <t>B3:B22</t>
        </is>
      </c>
      <c r="C7" s="17">
        <f>INDICE(Base_Empleados!B3:B22,4)</f>
        <v/>
      </c>
      <c r="D7" s="18" t="inlineStr">
        <is>
          <t>Juan García Peña</t>
        </is>
      </c>
      <c r="E7" s="19" t="inlineStr">
        <is>
          <t>Fila 4 → cuarto empleado</t>
        </is>
      </c>
    </row>
    <row r="8">
      <c r="A8" s="22" t="n">
        <v>7</v>
      </c>
      <c r="B8" s="23" t="inlineStr">
        <is>
          <t>F3:F22</t>
        </is>
      </c>
      <c r="C8" s="17">
        <f>INDICE(Base_Empleados!F3:F22,7)</f>
        <v/>
      </c>
      <c r="D8" s="18" t="inlineStr">
        <is>
          <t>$3,000,000</t>
        </is>
      </c>
      <c r="E8" s="19" t="inlineStr">
        <is>
          <t>Fila 7 → salario del séptimo empleado</t>
        </is>
      </c>
    </row>
    <row r="9">
      <c r="A9" s="22" t="n">
        <v>12</v>
      </c>
      <c r="B9" s="23" t="inlineStr">
        <is>
          <t>C3:C22</t>
        </is>
      </c>
      <c r="C9" s="20" t="inlineStr">
        <is>
          <t>← Escribe aquí tu fórmula</t>
        </is>
      </c>
      <c r="D9" s="18" t="inlineStr">
        <is>
          <t>Gerencia</t>
        </is>
      </c>
      <c r="E9" s="19" t="inlineStr">
        <is>
          <t>Tu turno — ¿qué departamento es el 12?</t>
        </is>
      </c>
    </row>
    <row r="10">
      <c r="A10" s="22" t="n">
        <v>20</v>
      </c>
      <c r="B10" s="23" t="inlineStr">
        <is>
          <t>E3:E22</t>
        </is>
      </c>
      <c r="C10" s="20" t="inlineStr">
        <is>
          <t>← Escribe aquí tu fórmula</t>
        </is>
      </c>
      <c r="D10" s="18" t="inlineStr">
        <is>
          <t>Barranquilla</t>
        </is>
      </c>
      <c r="E10" s="19" t="inlineStr">
        <is>
          <t>Tu turno — ¿en qué ciudad está el 20?</t>
        </is>
      </c>
    </row>
    <row r="11">
      <c r="A11" s="22" t="n">
        <v>15</v>
      </c>
      <c r="B11" s="23" t="inlineStr">
        <is>
          <t>F3:F22</t>
        </is>
      </c>
      <c r="C11" s="20" t="inlineStr">
        <is>
          <t>← Escribe aquí tu fórmula</t>
        </is>
      </c>
      <c r="D11" s="18" t="inlineStr">
        <is>
          <t>$3,100,000</t>
        </is>
      </c>
      <c r="E11" s="19" t="inlineStr">
        <is>
          <t>Tu turno — ¿cuánto gana el empleado 15?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2" customHeight="1">
      <c r="A1" s="7" t="inlineStr">
        <is>
          <t>PASO 3 — INDICE + COINCIDIR juntas: La búsqueda profesional completa</t>
        </is>
      </c>
    </row>
    <row r="2">
      <c r="A2" s="14" t="inlineStr">
        <is>
          <t>LÓGICA: COINCIDIR encuentra DÓNDE está el valor (posición) → INDICE va a esa posición y trae el dato que necesitas.</t>
        </is>
      </c>
    </row>
    <row r="3">
      <c r="A3" s="24" t="inlineStr">
        <is>
          <t>FÓRMULA:  =INDICE( columna_resultado , COINCIDIR( valor_buscado , columna_busqueda , 0 ) )</t>
        </is>
      </c>
    </row>
    <row r="5">
      <c r="A5" s="25" t="inlineStr">
        <is>
          <t>PANEL DE BÚSQUEDA — escribe un nombre o ID y las fórmulas traen todo lo demás</t>
        </is>
      </c>
    </row>
    <row r="6">
      <c r="A6" s="26" t="inlineStr">
        <is>
          <t>Escribe el nombre del empleado:</t>
        </is>
      </c>
      <c r="B6" s="27" t="inlineStr">
        <is>
          <t>Carlos Martínez López</t>
        </is>
      </c>
      <c r="C6" s="28" t="n"/>
      <c r="D6" s="29" t="n"/>
      <c r="E6" s="13" t="inlineStr">
        <is>
          <t>← Cambia este nombre para ver los resultados</t>
        </is>
      </c>
    </row>
    <row r="8">
      <c r="A8" s="30" t="inlineStr">
        <is>
          <t>Departamento</t>
        </is>
      </c>
      <c r="B8" s="31">
        <f>IFERROR(INDICE(Base_Empleados!$C$3:$C$22,COINCIDIR($B$6,Base_Empleados!$B$3:$B$22,0)),"No encontrado")</f>
        <v/>
      </c>
      <c r="C8" s="28" t="n"/>
      <c r="D8" s="29" t="n"/>
    </row>
    <row r="9">
      <c r="A9" s="30" t="inlineStr">
        <is>
          <t>Cargo</t>
        </is>
      </c>
      <c r="B9" s="31">
        <f>IFERROR(INDICE(Base_Empleados!$D$3:$D$22,COINCIDIR($B$6,Base_Empleados!$B$3:$B$22,0)),"No encontrado")</f>
        <v/>
      </c>
      <c r="C9" s="28" t="n"/>
      <c r="D9" s="29" t="n"/>
    </row>
    <row r="10">
      <c r="A10" s="30" t="inlineStr">
        <is>
          <t>Ciudad</t>
        </is>
      </c>
      <c r="B10" s="31">
        <f>IFERROR(INDICE(Base_Empleados!$E$3:$E$22,COINCIDIR($B$6,Base_Empleados!$B$3:$B$22,0)),"No encontrado")</f>
        <v/>
      </c>
      <c r="C10" s="28" t="n"/>
      <c r="D10" s="29" t="n"/>
    </row>
    <row r="11">
      <c r="A11" s="30" t="inlineStr">
        <is>
          <t>Salario</t>
        </is>
      </c>
      <c r="B11" s="32">
        <f>IFERROR(INDICE(Base_Empleados!$F$3:$F$22,COINCIDIR($B$6,Base_Empleados!$B$3:$B$22,0)),0)</f>
        <v/>
      </c>
      <c r="C11" s="28" t="n"/>
      <c r="D11" s="29" t="n"/>
    </row>
    <row r="12">
      <c r="A12" s="30" t="inlineStr">
        <is>
          <t>Antigüedad</t>
        </is>
      </c>
      <c r="B12" s="31">
        <f>IFERROR(INDICE(Base_Empleados!$G$3:$G$22,COINCIDIR($B$6,Base_Empleados!$B$3:$B$22,0)),"No encontrado")</f>
        <v/>
      </c>
      <c r="C12" s="28" t="n"/>
      <c r="D12" s="29" t="n"/>
    </row>
    <row r="15">
      <c r="A15" s="33" t="inlineStr">
        <is>
          <t>EJERCICIO: Búsqueda por ID</t>
        </is>
      </c>
    </row>
    <row r="16">
      <c r="A16" s="26" t="inlineStr">
        <is>
          <t>Escribe un ID:</t>
        </is>
      </c>
      <c r="B16" s="27" t="inlineStr">
        <is>
          <t>E012</t>
        </is>
      </c>
    </row>
    <row r="17">
      <c r="A17" t="inlineStr">
        <is>
          <t>Nombre del empleado:</t>
        </is>
      </c>
      <c r="B17" s="20" t="inlineStr">
        <is>
          <t>← TU FÓRMULA AQUÍ (busca en col A, devuelve col B)</t>
        </is>
      </c>
      <c r="C17" s="28" t="n"/>
      <c r="D17" s="29" t="n"/>
    </row>
    <row r="18">
      <c r="A18" t="inlineStr">
        <is>
          <t>Salario:</t>
        </is>
      </c>
      <c r="B18" s="20" t="inlineStr">
        <is>
          <t>← TU FÓRMULA AQUÍ (busca en col A, devuelve col F)</t>
        </is>
      </c>
      <c r="C18" s="28" t="n"/>
      <c r="D18" s="29" t="n"/>
    </row>
    <row r="20">
      <c r="A20" s="13" t="inlineStr">
        <is>
          <t>PISTA: =IFERROR(INDICE(Base_Empleados!$B$3:$B$22,COINCIDIR($B$16,Base_Empleados!$A$3:$A$22,0)),"No encontrado")</t>
        </is>
      </c>
    </row>
  </sheetData>
  <mergeCells count="15">
    <mergeCell ref="B10:D10"/>
    <mergeCell ref="A2:F2"/>
    <mergeCell ref="B11:D11"/>
    <mergeCell ref="E6:F6"/>
    <mergeCell ref="A1:F1"/>
    <mergeCell ref="A5:F5"/>
    <mergeCell ref="B8:D8"/>
    <mergeCell ref="B17:D17"/>
    <mergeCell ref="B9:D9"/>
    <mergeCell ref="B18:D18"/>
    <mergeCell ref="B12:D12"/>
    <mergeCell ref="A3:F3"/>
    <mergeCell ref="A20:F20"/>
    <mergeCell ref="B6:D6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40" customWidth="1" min="5" max="5"/>
    <col width="16" customWidth="1" min="6" max="6"/>
  </cols>
  <sheetData>
    <row r="1" ht="22" customHeight="1">
      <c r="A1" s="7" t="inlineStr">
        <is>
          <t>RETO — Búsqueda Bidireccional: INDICE con dos COINCIDIR</t>
        </is>
      </c>
    </row>
    <row r="2">
      <c r="A2" s="14" t="inlineStr">
        <is>
          <t>NIVEL AVANZADO: Puedes buscar tanto la FILA como la COLUMNA con COINCIDIR, y INDICE devuelve la intersección.</t>
        </is>
      </c>
    </row>
    <row r="3">
      <c r="A3" s="24" t="inlineStr">
        <is>
          <t>FÓRMULA: =INDICE(tabla_datos, COINCIDIR(fila_buscada, col_de_filas, 0), COINCIDIR(col_buscada, fila_de_cols, 0))</t>
        </is>
      </c>
    </row>
    <row r="5">
      <c r="A5" s="25" t="inlineStr">
        <is>
          <t>TABLA DE VENTAS — PRIMER TRIMESTRE 2025</t>
        </is>
      </c>
    </row>
    <row r="6">
      <c r="A6" s="8" t="inlineStr">
        <is>
          <t>CIUDAD / MES</t>
        </is>
      </c>
      <c r="B6" s="8" t="inlineStr">
        <is>
          <t>Enero</t>
        </is>
      </c>
      <c r="C6" s="8" t="inlineStr">
        <is>
          <t>Febrero</t>
        </is>
      </c>
      <c r="D6" s="8" t="inlineStr">
        <is>
          <t>Marzo</t>
        </is>
      </c>
    </row>
    <row r="7">
      <c r="A7" s="9" t="inlineStr">
        <is>
          <t>Barranquilla</t>
        </is>
      </c>
      <c r="B7" s="10" t="n">
        <v>42500000</v>
      </c>
      <c r="C7" s="10" t="n">
        <v>45800000</v>
      </c>
      <c r="D7" s="10" t="n">
        <v>48200000</v>
      </c>
    </row>
    <row r="8">
      <c r="A8" s="11" t="inlineStr">
        <is>
          <t>Bogotá</t>
        </is>
      </c>
      <c r="B8" s="12" t="n">
        <v>61000000</v>
      </c>
      <c r="C8" s="12" t="n">
        <v>65300000</v>
      </c>
      <c r="D8" s="12" t="n">
        <v>68500000</v>
      </c>
    </row>
    <row r="9">
      <c r="A9" s="9" t="inlineStr">
        <is>
          <t>Cartagena</t>
        </is>
      </c>
      <c r="B9" s="10" t="n">
        <v>24100000</v>
      </c>
      <c r="C9" s="10" t="n">
        <v>26800000</v>
      </c>
      <c r="D9" s="10" t="n">
        <v>28900000</v>
      </c>
    </row>
    <row r="10">
      <c r="A10" s="11" t="inlineStr">
        <is>
          <t>Medellín</t>
        </is>
      </c>
      <c r="B10" s="12" t="n">
        <v>31000000</v>
      </c>
      <c r="C10" s="12" t="n">
        <v>33500000</v>
      </c>
      <c r="D10" s="12" t="n">
        <v>36200000</v>
      </c>
    </row>
    <row r="13">
      <c r="A13" s="33" t="inlineStr">
        <is>
          <t>PANEL DE BÚSQUEDA BIDIRECCIONAL</t>
        </is>
      </c>
    </row>
    <row r="14">
      <c r="A14" t="inlineStr">
        <is>
          <t>Ciudad a buscar:</t>
        </is>
      </c>
      <c r="B14" s="34" t="inlineStr">
        <is>
          <t>Barranquilla</t>
        </is>
      </c>
      <c r="C14" s="13" t="inlineStr">
        <is>
          <t>← Cambia ciudad y mes para ver distintos resultados</t>
        </is>
      </c>
    </row>
    <row r="15">
      <c r="A15" t="inlineStr">
        <is>
          <t>Mes a buscar:</t>
        </is>
      </c>
      <c r="B15" s="34" t="inlineStr">
        <is>
          <t>Febrero</t>
        </is>
      </c>
    </row>
    <row r="17">
      <c r="A17" s="26" t="inlineStr">
        <is>
          <t>Resultado (EJEMPLO ya resuelto):</t>
        </is>
      </c>
      <c r="B17" s="35">
        <f>IFERROR(INDICE($B$7:$D$10,COINCIDIR($B$14,$A$7:$A$10,0),COINCIDIR($B$15,$B$6:$D$6,0)),"Ciudad o mes no encontrado")</f>
        <v/>
      </c>
      <c r="C17" s="28" t="n"/>
      <c r="D17" s="29" t="n"/>
    </row>
    <row r="19">
      <c r="A19" s="21" t="inlineStr">
        <is>
          <t>AHORA TÚ: En B21:B23, escribe las fórmulas para responder estas preguntas:</t>
        </is>
      </c>
    </row>
    <row r="20">
      <c r="A20" s="30" t="inlineStr">
        <is>
          <t>¿Cuánto vendió Bogotá en Marzo?</t>
        </is>
      </c>
      <c r="B20" s="20" t="inlineStr">
        <is>
          <t>← TU FÓRMULA AQUÍ</t>
        </is>
      </c>
      <c r="C20" s="28" t="n"/>
      <c r="D20" s="29" t="n"/>
      <c r="E20" s="36" t="inlineStr">
        <is>
          <t>Pista: =IFERROR(INDICE($B$7:$D$10,COINCIDIR("Bogotá",$A$7...</t>
        </is>
      </c>
      <c r="F20" s="29" t="n"/>
    </row>
    <row r="21">
      <c r="A21" s="30" t="inlineStr">
        <is>
          <t>¿Cuánto vendió Cartagena en Enero?</t>
        </is>
      </c>
      <c r="B21" s="20" t="inlineStr">
        <is>
          <t>← TU FÓRMULA AQUÍ</t>
        </is>
      </c>
      <c r="C21" s="28" t="n"/>
      <c r="D21" s="29" t="n"/>
      <c r="E21" s="36" t="inlineStr">
        <is>
          <t>Pista: =IFERROR(INDICE($B$7:$D$10,COINCIDIR("Cartagena",$...</t>
        </is>
      </c>
      <c r="F21" s="29" t="n"/>
    </row>
    <row r="22">
      <c r="A22" s="30" t="inlineStr">
        <is>
          <t>¿Cuánto vendió Medellín en Febrero?</t>
        </is>
      </c>
      <c r="B22" s="20" t="inlineStr">
        <is>
          <t>← TU FÓRMULA AQUÍ</t>
        </is>
      </c>
      <c r="C22" s="28" t="n"/>
      <c r="D22" s="29" t="n"/>
      <c r="E22" s="36" t="inlineStr">
        <is>
          <t>Pista: =IFERROR(INDICE($B$7:$D$10,COINCIDIR("Medellín",$A...</t>
        </is>
      </c>
      <c r="F22" s="29" t="n"/>
    </row>
  </sheetData>
  <mergeCells count="14">
    <mergeCell ref="A2:F2"/>
    <mergeCell ref="A5:D5"/>
    <mergeCell ref="E20:F20"/>
    <mergeCell ref="E21:F21"/>
    <mergeCell ref="A13:F13"/>
    <mergeCell ref="A19:F19"/>
    <mergeCell ref="B22:D22"/>
    <mergeCell ref="A1:F1"/>
    <mergeCell ref="B17:D17"/>
    <mergeCell ref="E22:F22"/>
    <mergeCell ref="B21:D21"/>
    <mergeCell ref="A3:F3"/>
    <mergeCell ref="C14:F1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2026-06-23T20:28:19Z</dcterms:created>
  <dcterms:modified xmlns:dcterms="http://purl.org/dc/terms/" xmlns:xsi="http://www.w3.org/2001/XMLSchema-instance" xsi:type="dcterms:W3CDTF">2026-06-23T20:28:19Z</dcterms:modified>
</cp:coreProperties>
</file>