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Gastos_Junio" sheetId="2" state="visible" r:id="rId2"/>
    <sheet xmlns:r="http://schemas.openxmlformats.org/officeDocument/2006/relationships" name="Catalogo_Super" sheetId="3" state="visible" r:id="rId3"/>
    <sheet xmlns:r="http://schemas.openxmlformats.org/officeDocument/2006/relationships" name="Lista_Compras" sheetId="4" state="visible" r:id="rId4"/>
    <sheet xmlns:r="http://schemas.openxmlformats.org/officeDocument/2006/relationships" name="Analisis_Presupuesto" sheetId="5" state="visible" r:id="rId5"/>
  </sheets>
  <definedNames>
    <definedName name="_xlnm._FilterDatabase" localSheetId="1" hidden="1">'Gastos_Junio'!$A$2:$F$2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23">
    <font>
      <name val="Calibri"/>
      <family val="2"/>
      <color theme="1"/>
      <sz val="11"/>
      <scheme val="minor"/>
    </font>
    <font>
      <b val="1"/>
      <color rgb="00009688"/>
      <sz val="16"/>
    </font>
    <font>
      <color rgb="00888888"/>
      <sz val="10"/>
    </font>
    <font>
      <color rgb="00333333"/>
      <sz val="10"/>
    </font>
    <font>
      <b val="1"/>
      <color rgb="00009688"/>
      <sz val="12"/>
    </font>
    <font>
      <b val="1"/>
      <color rgb="00009688"/>
      <sz val="11"/>
    </font>
    <font>
      <b val="1"/>
      <color rgb="00FF6B35"/>
      <sz val="11"/>
    </font>
    <font>
      <b val="1"/>
      <color rgb="00E8472A"/>
      <sz val="11"/>
    </font>
    <font>
      <color rgb="000070C0"/>
      <sz val="10"/>
    </font>
    <font>
      <b val="1"/>
      <color rgb="007C6FF0"/>
      <sz val="13"/>
    </font>
    <font>
      <b val="1"/>
      <color rgb="00009688"/>
      <sz val="13"/>
    </font>
    <font>
      <b val="1"/>
      <color rgb="00FFFFFF"/>
      <sz val="10"/>
    </font>
    <font>
      <b val="1"/>
      <sz val="11"/>
    </font>
    <font>
      <b val="1"/>
      <color rgb="00FF6B35"/>
      <sz val="13"/>
    </font>
    <font>
      <b val="1"/>
      <color rgb="001a0a00"/>
      <sz val="10"/>
    </font>
    <font>
      <i val="1"/>
      <color rgb="00888888"/>
      <sz val="9"/>
    </font>
    <font>
      <b val="1"/>
      <color rgb="00333333"/>
      <sz val="10"/>
    </font>
    <font>
      <b val="1"/>
      <color rgb="000070C0"/>
      <sz val="10"/>
    </font>
    <font>
      <b val="1"/>
      <color rgb="00FF6B35"/>
      <sz val="10"/>
    </font>
    <font>
      <b val="1"/>
      <color rgb="00009688"/>
    </font>
    <font>
      <i val="1"/>
      <color rgb="00AAAAAA"/>
      <sz val="9"/>
    </font>
    <font>
      <i val="1"/>
      <color rgb="00AAAAAA"/>
      <sz val="10"/>
    </font>
    <font>
      <b val="1"/>
      <i val="1"/>
      <color rgb="00FF6B35"/>
      <sz val="14"/>
    </font>
  </fonts>
  <fills count="9">
    <fill>
      <patternFill/>
    </fill>
    <fill>
      <patternFill patternType="gray125"/>
    </fill>
    <fill>
      <patternFill patternType="solid">
        <fgColor rgb="00009688"/>
      </patternFill>
    </fill>
    <fill>
      <patternFill patternType="solid">
        <fgColor rgb="00FFFFFF"/>
      </patternFill>
    </fill>
    <fill>
      <patternFill patternType="solid">
        <fgColor rgb="00E0F2F1"/>
      </patternFill>
    </fill>
    <fill>
      <patternFill patternType="solid">
        <fgColor rgb="00FF6B35"/>
      </patternFill>
    </fill>
    <fill>
      <patternFill patternType="solid">
        <fgColor rgb="00FFF3E0"/>
      </patternFill>
    </fill>
    <fill>
      <patternFill patternType="solid">
        <fgColor rgb="00E8F8F0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0" fontId="12" fillId="0" borderId="1" pivotButton="0" quotePrefix="0" xfId="0"/>
    <xf numFmtId="164" fontId="10" fillId="4" borderId="1" pivotButton="0" quotePrefix="0" xfId="0"/>
    <xf numFmtId="0" fontId="13" fillId="0" borderId="0" pivotButton="0" quotePrefix="0" xfId="0"/>
    <xf numFmtId="0" fontId="1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right" vertical="center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right" vertical="center"/>
    </xf>
    <xf numFmtId="164" fontId="19" fillId="4" borderId="1" applyAlignment="1" pivotButton="0" quotePrefix="0" xfId="0">
      <alignment horizontal="right" vertical="center"/>
    </xf>
    <xf numFmtId="164" fontId="2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left" vertical="center"/>
    </xf>
    <xf numFmtId="0" fontId="22" fillId="8" borderId="1" pivotButton="0" quotePrefix="0" xfId="0"/>
    <xf numFmtId="0" fontId="20" fillId="0" borderId="1" pivotButton="0" quotePrefix="0" xfId="0"/>
    <xf numFmtId="0" fontId="16" fillId="0" borderId="1" applyAlignment="1" pivotButton="0" quotePrefix="0" xfId="0">
      <alignment horizontal="left" vertical="center"/>
    </xf>
    <xf numFmtId="164" fontId="20" fillId="8" borderId="1" pivotButton="0" quotePrefix="0" xfId="0"/>
    <xf numFmtId="0" fontId="20" fillId="8" borderId="1" pivotButton="0" quotePrefix="0" xfId="0"/>
    <xf numFmtId="165" fontId="20" fillId="8" borderId="1" pivotButton="0" quotePrefix="0" xfId="0"/>
    <xf numFmtId="164" fontId="20" fillId="0" borderId="1" pivotButton="0" quotePrefix="0" xfId="0"/>
    <xf numFmtId="0" fontId="21" fillId="8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TAREA PARA LA CASA — PRESUPUESTO FAMILIAR CON EXCEL</t>
        </is>
      </c>
    </row>
    <row r="2">
      <c r="A2" s="2" t="inlineStr">
        <is>
          <t>DÍA 2 | Módulo 11 — Ofimática Avanzada | INTEBIEN S.A.S.</t>
        </is>
      </c>
    </row>
    <row r="3">
      <c r="A3" s="3" t="inlineStr"/>
    </row>
    <row r="4">
      <c r="A4" s="4" t="inlineStr">
        <is>
          <t>CONTEXTO — ¿Por qué esta tarea?</t>
        </is>
      </c>
    </row>
    <row r="5">
      <c r="A5" s="3" t="inlineStr">
        <is>
          <t>Excel no es solo para el trabajo. Estas mismas funciones que usas en la empresa</t>
        </is>
      </c>
    </row>
    <row r="6">
      <c r="A6" s="3" t="inlineStr">
        <is>
          <t>pueden ayudarte a controlar tus gastos personales, planear vacaciones, hacer listas</t>
        </is>
      </c>
    </row>
    <row r="7">
      <c r="A7" s="3" t="inlineStr">
        <is>
          <t>de compras inteligentes, y tomar mejores decisiones financieras en tu día a día.</t>
        </is>
      </c>
    </row>
    <row r="8">
      <c r="A8" s="3" t="inlineStr"/>
    </row>
    <row r="9">
      <c r="A9" s="5" t="inlineStr">
        <is>
          <t>SITUACIÓN: Eres el administrador del presupuesto de tu hogar en junio 2025.</t>
        </is>
      </c>
    </row>
    <row r="10">
      <c r="A10" s="3" t="inlineStr">
        <is>
          <t>Tienes un registro de todos los gastos del mes y un catálogo del supermercado.</t>
        </is>
      </c>
    </row>
    <row r="11">
      <c r="A11" s="3" t="inlineStr"/>
    </row>
    <row r="12">
      <c r="A12" s="4" t="inlineStr">
        <is>
          <t>ESTRUCTURA DE ESTE ARCHIVO</t>
        </is>
      </c>
    </row>
    <row r="13">
      <c r="A13" s="3" t="inlineStr">
        <is>
          <t xml:space="preserve">  Hoja 2 — Gastos_Junio       : 35 registros de gastos reales del mes (ya está lleno)</t>
        </is>
      </c>
    </row>
    <row r="14">
      <c r="A14" s="3" t="inlineStr">
        <is>
          <t xml:space="preserve">  Hoja 3 — Catalogo_Super     : Precios de 20 productos del supermercado</t>
        </is>
      </c>
    </row>
    <row r="15">
      <c r="A15" s="3" t="inlineStr">
        <is>
          <t xml:space="preserve">  Hoja 4 — Lista_Compras      : PRÁCTICA INDICE+COINCIDIR — buscar precios</t>
        </is>
      </c>
    </row>
    <row r="16">
      <c r="A16" s="3" t="inlineStr">
        <is>
          <t xml:space="preserve">  Hoja 5 — Analisis_Presupuesto: PRÁCTICA CONDICIONALES — analizar gastos</t>
        </is>
      </c>
    </row>
    <row r="17">
      <c r="A17" s="3" t="inlineStr"/>
    </row>
    <row r="18">
      <c r="A18" s="4" t="inlineStr">
        <is>
          <t>LO QUE DEBES HACER</t>
        </is>
      </c>
    </row>
    <row r="19">
      <c r="A19" s="3" t="inlineStr"/>
    </row>
    <row r="20">
      <c r="A20" s="6" t="inlineStr">
        <is>
          <t xml:space="preserve">  PARTE A — Lista de Compras (Hoja 4)</t>
        </is>
      </c>
    </row>
    <row r="21">
      <c r="A21" s="3" t="inlineStr">
        <is>
          <t xml:space="preserve">  1. Abre la hoja "Lista_Compras"</t>
        </is>
      </c>
    </row>
    <row r="22">
      <c r="A22" s="3" t="inlineStr">
        <is>
          <t xml:space="preserve">  2. En la columna D, usa INDICE+COINCIDIR para traer el precio de cada producto</t>
        </is>
      </c>
    </row>
    <row r="23">
      <c r="A23" s="3" t="inlineStr">
        <is>
          <t xml:space="preserve">     desde el catálogo del supermercado (Hoja 3)</t>
        </is>
      </c>
    </row>
    <row r="24">
      <c r="A24" s="3" t="inlineStr">
        <is>
          <t xml:space="preserve">  3. En la columna E, calcula el subtotal (cantidad × precio)</t>
        </is>
      </c>
    </row>
    <row r="25">
      <c r="A25" s="3" t="inlineStr">
        <is>
          <t xml:space="preserve">  4. Calcula el total de la compra</t>
        </is>
      </c>
    </row>
    <row r="26">
      <c r="A26" s="3" t="inlineStr"/>
    </row>
    <row r="27">
      <c r="A27" s="6" t="inlineStr">
        <is>
          <t xml:space="preserve">  PARTE B — Análisis del Presupuesto (Hoja 5)</t>
        </is>
      </c>
    </row>
    <row r="28">
      <c r="A28" s="3" t="inlineStr">
        <is>
          <t xml:space="preserve">  1. Abre la hoja "Analisis_Presupuesto"</t>
        </is>
      </c>
    </row>
    <row r="29">
      <c r="A29" s="3" t="inlineStr">
        <is>
          <t xml:space="preserve">  2. Usa SUMAR.SI para calcular cuánto gastaste en cada categoría del mes</t>
        </is>
      </c>
    </row>
    <row r="30">
      <c r="A30" s="3" t="inlineStr">
        <is>
          <t xml:space="preserve">  3. Usa CONTAR.SI para saber cuántas transacciones tuvo cada categoría</t>
        </is>
      </c>
    </row>
    <row r="31">
      <c r="A31" s="3" t="inlineStr">
        <is>
          <t xml:space="preserve">  4. Usa PROMEDIO.SI para saber el gasto promedio por transacción en cada categoría</t>
        </is>
      </c>
    </row>
    <row r="32">
      <c r="A32" s="3" t="inlineStr">
        <is>
          <t xml:space="preserve">  5. Responde las 3 preguntas de análisis al final de la hoja</t>
        </is>
      </c>
    </row>
    <row r="33">
      <c r="A33" s="3" t="inlineStr"/>
    </row>
    <row r="34">
      <c r="A34" s="7" t="inlineStr">
        <is>
          <t>ENTREGA: Guarda como  Tarea_D2_TuNombre.xlsx</t>
        </is>
      </c>
    </row>
    <row r="35">
      <c r="A35" s="3" t="inlineStr"/>
    </row>
    <row r="36">
      <c r="A36" s="5" t="inlineStr">
        <is>
          <t>PISTAS CLAVE:</t>
        </is>
      </c>
    </row>
    <row r="37">
      <c r="A37" s="3" t="inlineStr">
        <is>
          <t xml:space="preserve">  INDICE+COINCIDIR para buscar precio por nombre de producto:</t>
        </is>
      </c>
    </row>
    <row r="38">
      <c r="A38" s="8" t="inlineStr">
        <is>
          <t xml:space="preserve">  =IFERROR(INDICE(Catalogo_Super!$C$3:$C$22,COINCIDIR(B3,Catalogo_Super!$A$3:$A$22,0)),0)</t>
        </is>
      </c>
    </row>
    <row r="39">
      <c r="A39" s="3" t="inlineStr">
        <is>
          <t xml:space="preserve">  SUMAR.SI para total de una categoría:</t>
        </is>
      </c>
    </row>
    <row r="40">
      <c r="A40" s="8" t="inlineStr">
        <is>
          <t xml:space="preserve">  =SUMAR.SI(Gastos_Junio!$C$3:$C$37,"Alimentación",Gastos_Junio!$E$3:$E$37)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7" customWidth="1" min="3" max="3"/>
    <col width="15" customWidth="1" min="4" max="4"/>
    <col width="14" customWidth="1" min="5" max="5"/>
    <col width="13" customWidth="1" min="6" max="6"/>
  </cols>
  <sheetData>
    <row r="1" ht="22" customHeight="1">
      <c r="A1" s="9" t="inlineStr">
        <is>
          <t>REGISTRO DE GASTOS — JUNIO 2025 — HOGAR FAMILIAR</t>
        </is>
      </c>
    </row>
    <row r="2">
      <c r="A2" s="10" t="inlineStr">
        <is>
          <t>FECHA</t>
        </is>
      </c>
      <c r="B2" s="10" t="inlineStr">
        <is>
          <t>DESCRIPCIÓN</t>
        </is>
      </c>
      <c r="C2" s="10" t="inlineStr">
        <is>
          <t>CATEGORÍA</t>
        </is>
      </c>
      <c r="D2" s="10" t="inlineStr">
        <is>
          <t>FORMA_PAGO</t>
        </is>
      </c>
      <c r="E2" s="10" t="inlineStr">
        <is>
          <t>MONTO</t>
        </is>
      </c>
      <c r="F2" s="10" t="inlineStr">
        <is>
          <t>NECESIDAD</t>
        </is>
      </c>
    </row>
    <row r="3">
      <c r="A3" s="11" t="inlineStr">
        <is>
          <t>2025-06-01</t>
        </is>
      </c>
      <c r="B3" s="11" t="inlineStr">
        <is>
          <t>Arriendo apartamento</t>
        </is>
      </c>
      <c r="C3" s="11" t="inlineStr">
        <is>
          <t>Vivienda</t>
        </is>
      </c>
      <c r="D3" s="11" t="inlineStr">
        <is>
          <t>Transferencia</t>
        </is>
      </c>
      <c r="E3" s="12" t="n">
        <v>1200000</v>
      </c>
      <c r="F3" s="11" t="inlineStr">
        <is>
          <t>Obligatorio</t>
        </is>
      </c>
    </row>
    <row r="4">
      <c r="A4" s="13" t="inlineStr">
        <is>
          <t>2025-06-01</t>
        </is>
      </c>
      <c r="B4" s="13" t="inlineStr">
        <is>
          <t>Mercado semanal semana 1</t>
        </is>
      </c>
      <c r="C4" s="13" t="inlineStr">
        <is>
          <t>Alimentación</t>
        </is>
      </c>
      <c r="D4" s="13" t="inlineStr">
        <is>
          <t>Débito</t>
        </is>
      </c>
      <c r="E4" s="14" t="n">
        <v>280000</v>
      </c>
      <c r="F4" s="13" t="inlineStr">
        <is>
          <t>Obligatorio</t>
        </is>
      </c>
    </row>
    <row r="5">
      <c r="A5" s="11" t="inlineStr">
        <is>
          <t>2025-06-02</t>
        </is>
      </c>
      <c r="B5" s="11" t="inlineStr">
        <is>
          <t>Recarga bus mensual</t>
        </is>
      </c>
      <c r="C5" s="11" t="inlineStr">
        <is>
          <t>Transporte</t>
        </is>
      </c>
      <c r="D5" s="11" t="inlineStr">
        <is>
          <t>Efectivo</t>
        </is>
      </c>
      <c r="E5" s="12" t="n">
        <v>75000</v>
      </c>
      <c r="F5" s="11" t="inlineStr">
        <is>
          <t>Obligatorio</t>
        </is>
      </c>
    </row>
    <row r="6">
      <c r="A6" s="13" t="inlineStr">
        <is>
          <t>2025-06-03</t>
        </is>
      </c>
      <c r="B6" s="13" t="inlineStr">
        <is>
          <t>Netflix</t>
        </is>
      </c>
      <c r="C6" s="13" t="inlineStr">
        <is>
          <t>Entretenimiento</t>
        </is>
      </c>
      <c r="D6" s="13" t="inlineStr">
        <is>
          <t>Crédito</t>
        </is>
      </c>
      <c r="E6" s="14" t="n">
        <v>22900</v>
      </c>
      <c r="F6" s="13" t="inlineStr">
        <is>
          <t>Opcional</t>
        </is>
      </c>
    </row>
    <row r="7">
      <c r="A7" s="11" t="inlineStr">
        <is>
          <t>2025-06-04</t>
        </is>
      </c>
      <c r="B7" s="11" t="inlineStr">
        <is>
          <t>Desayuno panadería</t>
        </is>
      </c>
      <c r="C7" s="11" t="inlineStr">
        <is>
          <t>Alimentación</t>
        </is>
      </c>
      <c r="D7" s="11" t="inlineStr">
        <is>
          <t>Efectivo</t>
        </is>
      </c>
      <c r="E7" s="12" t="n">
        <v>15000</v>
      </c>
      <c r="F7" s="11" t="inlineStr">
        <is>
          <t>Opcional</t>
        </is>
      </c>
    </row>
    <row r="8">
      <c r="A8" s="13" t="inlineStr">
        <is>
          <t>2025-06-05</t>
        </is>
      </c>
      <c r="B8" s="13" t="inlineStr">
        <is>
          <t>Gasolina carro</t>
        </is>
      </c>
      <c r="C8" s="13" t="inlineStr">
        <is>
          <t>Transporte</t>
        </is>
      </c>
      <c r="D8" s="13" t="inlineStr">
        <is>
          <t>Crédito</t>
        </is>
      </c>
      <c r="E8" s="14" t="n">
        <v>80000</v>
      </c>
      <c r="F8" s="13" t="inlineStr">
        <is>
          <t>Obligatorio</t>
        </is>
      </c>
    </row>
    <row r="9">
      <c r="A9" s="11" t="inlineStr">
        <is>
          <t>2025-06-06</t>
        </is>
      </c>
      <c r="B9" s="11" t="inlineStr">
        <is>
          <t>Gym mensualidad</t>
        </is>
      </c>
      <c r="C9" s="11" t="inlineStr">
        <is>
          <t>Salud</t>
        </is>
      </c>
      <c r="D9" s="11" t="inlineStr">
        <is>
          <t>Débito</t>
        </is>
      </c>
      <c r="E9" s="12" t="n">
        <v>60000</v>
      </c>
      <c r="F9" s="11" t="inlineStr">
        <is>
          <t>Opcional</t>
        </is>
      </c>
    </row>
    <row r="10">
      <c r="A10" s="13" t="inlineStr">
        <is>
          <t>2025-06-07</t>
        </is>
      </c>
      <c r="B10" s="13" t="inlineStr">
        <is>
          <t>Almuerzo restaurante con familia</t>
        </is>
      </c>
      <c r="C10" s="13" t="inlineStr">
        <is>
          <t>Alimentación</t>
        </is>
      </c>
      <c r="D10" s="13" t="inlineStr">
        <is>
          <t>Crédito</t>
        </is>
      </c>
      <c r="E10" s="14" t="n">
        <v>95000</v>
      </c>
      <c r="F10" s="13" t="inlineStr">
        <is>
          <t>Opcional</t>
        </is>
      </c>
    </row>
    <row r="11">
      <c r="A11" s="11" t="inlineStr">
        <is>
          <t>2025-06-08</t>
        </is>
      </c>
      <c r="B11" s="11" t="inlineStr">
        <is>
          <t>Servicio de energía</t>
        </is>
      </c>
      <c r="C11" s="11" t="inlineStr">
        <is>
          <t>Servicios</t>
        </is>
      </c>
      <c r="D11" s="11" t="inlineStr">
        <is>
          <t>PSE</t>
        </is>
      </c>
      <c r="E11" s="12" t="n">
        <v>145000</v>
      </c>
      <c r="F11" s="11" t="inlineStr">
        <is>
          <t>Obligatorio</t>
        </is>
      </c>
    </row>
    <row r="12">
      <c r="A12" s="13" t="inlineStr">
        <is>
          <t>2025-06-08</t>
        </is>
      </c>
      <c r="B12" s="13" t="inlineStr">
        <is>
          <t>Servicio de agua</t>
        </is>
      </c>
      <c r="C12" s="13" t="inlineStr">
        <is>
          <t>Servicios</t>
        </is>
      </c>
      <c r="D12" s="13" t="inlineStr">
        <is>
          <t>PSE</t>
        </is>
      </c>
      <c r="E12" s="14" t="n">
        <v>65000</v>
      </c>
      <c r="F12" s="13" t="inlineStr">
        <is>
          <t>Obligatorio</t>
        </is>
      </c>
    </row>
    <row r="13">
      <c r="A13" s="11" t="inlineStr">
        <is>
          <t>2025-06-09</t>
        </is>
      </c>
      <c r="B13" s="11" t="inlineStr">
        <is>
          <t>Internet hogar</t>
        </is>
      </c>
      <c r="C13" s="11" t="inlineStr">
        <is>
          <t>Servicios</t>
        </is>
      </c>
      <c r="D13" s="11" t="inlineStr">
        <is>
          <t>Débito</t>
        </is>
      </c>
      <c r="E13" s="12" t="n">
        <v>75000</v>
      </c>
      <c r="F13" s="11" t="inlineStr">
        <is>
          <t>Obligatorio</t>
        </is>
      </c>
    </row>
    <row r="14">
      <c r="A14" s="13" t="inlineStr">
        <is>
          <t>2025-06-10</t>
        </is>
      </c>
      <c r="B14" s="13" t="inlineStr">
        <is>
          <t>Útiles escolares hijos</t>
        </is>
      </c>
      <c r="C14" s="13" t="inlineStr">
        <is>
          <t>Educación</t>
        </is>
      </c>
      <c r="D14" s="13" t="inlineStr">
        <is>
          <t>Efectivo</t>
        </is>
      </c>
      <c r="E14" s="14" t="n">
        <v>85000</v>
      </c>
      <c r="F14" s="13" t="inlineStr">
        <is>
          <t>Obligatorio</t>
        </is>
      </c>
    </row>
    <row r="15">
      <c r="A15" s="11" t="inlineStr">
        <is>
          <t>2025-06-11</t>
        </is>
      </c>
      <c r="B15" s="11" t="inlineStr">
        <is>
          <t>Mercado semanal semana 2</t>
        </is>
      </c>
      <c r="C15" s="11" t="inlineStr">
        <is>
          <t>Alimentación</t>
        </is>
      </c>
      <c r="D15" s="11" t="inlineStr">
        <is>
          <t>Débito</t>
        </is>
      </c>
      <c r="E15" s="12" t="n">
        <v>255000</v>
      </c>
      <c r="F15" s="11" t="inlineStr">
        <is>
          <t>Obligatorio</t>
        </is>
      </c>
    </row>
    <row r="16">
      <c r="A16" s="13" t="inlineStr">
        <is>
          <t>2025-06-12</t>
        </is>
      </c>
      <c r="B16" s="13" t="inlineStr">
        <is>
          <t>Médico pediatra</t>
        </is>
      </c>
      <c r="C16" s="13" t="inlineStr">
        <is>
          <t>Salud</t>
        </is>
      </c>
      <c r="D16" s="13" t="inlineStr">
        <is>
          <t>Efectivo</t>
        </is>
      </c>
      <c r="E16" s="14" t="n">
        <v>60000</v>
      </c>
      <c r="F16" s="13" t="inlineStr">
        <is>
          <t>Obligatorio</t>
        </is>
      </c>
    </row>
    <row r="17">
      <c r="A17" s="11" t="inlineStr">
        <is>
          <t>2025-06-13</t>
        </is>
      </c>
      <c r="B17" s="11" t="inlineStr">
        <is>
          <t>Cine en familia</t>
        </is>
      </c>
      <c r="C17" s="11" t="inlineStr">
        <is>
          <t>Entretenimiento</t>
        </is>
      </c>
      <c r="D17" s="11" t="inlineStr">
        <is>
          <t>Crédito</t>
        </is>
      </c>
      <c r="E17" s="12" t="n">
        <v>85000</v>
      </c>
      <c r="F17" s="11" t="inlineStr">
        <is>
          <t>Opcional</t>
        </is>
      </c>
    </row>
    <row r="18">
      <c r="A18" s="13" t="inlineStr">
        <is>
          <t>2025-06-14</t>
        </is>
      </c>
      <c r="B18" s="13" t="inlineStr">
        <is>
          <t>Ropa deportiva hijo</t>
        </is>
      </c>
      <c r="C18" s="13" t="inlineStr">
        <is>
          <t>Ropa</t>
        </is>
      </c>
      <c r="D18" s="13" t="inlineStr">
        <is>
          <t>Crédito</t>
        </is>
      </c>
      <c r="E18" s="14" t="n">
        <v>95000</v>
      </c>
      <c r="F18" s="13" t="inlineStr">
        <is>
          <t>Opcional</t>
        </is>
      </c>
    </row>
    <row r="19">
      <c r="A19" s="11" t="inlineStr">
        <is>
          <t>2025-06-15</t>
        </is>
      </c>
      <c r="B19" s="11" t="inlineStr">
        <is>
          <t>Taxi a reunión de trabajo</t>
        </is>
      </c>
      <c r="C19" s="11" t="inlineStr">
        <is>
          <t>Transporte</t>
        </is>
      </c>
      <c r="D19" s="11" t="inlineStr">
        <is>
          <t>App</t>
        </is>
      </c>
      <c r="E19" s="12" t="n">
        <v>22000</v>
      </c>
      <c r="F19" s="11" t="inlineStr">
        <is>
          <t>Obligatorio</t>
        </is>
      </c>
    </row>
    <row r="20">
      <c r="A20" s="13" t="inlineStr">
        <is>
          <t>2025-06-16</t>
        </is>
      </c>
      <c r="B20" s="13" t="inlineStr">
        <is>
          <t>Spotify</t>
        </is>
      </c>
      <c r="C20" s="13" t="inlineStr">
        <is>
          <t>Entretenimiento</t>
        </is>
      </c>
      <c r="D20" s="13" t="inlineStr">
        <is>
          <t>Crédito</t>
        </is>
      </c>
      <c r="E20" s="14" t="n">
        <v>11900</v>
      </c>
      <c r="F20" s="13" t="inlineStr">
        <is>
          <t>Opcional</t>
        </is>
      </c>
    </row>
    <row r="21">
      <c r="A21" s="11" t="inlineStr">
        <is>
          <t>2025-06-17</t>
        </is>
      </c>
      <c r="B21" s="11" t="inlineStr">
        <is>
          <t>Domicilio almuerzo</t>
        </is>
      </c>
      <c r="C21" s="11" t="inlineStr">
        <is>
          <t>Alimentación</t>
        </is>
      </c>
      <c r="D21" s="11" t="inlineStr">
        <is>
          <t>App</t>
        </is>
      </c>
      <c r="E21" s="12" t="n">
        <v>35000</v>
      </c>
      <c r="F21" s="11" t="inlineStr">
        <is>
          <t>Opcional</t>
        </is>
      </c>
    </row>
    <row r="22">
      <c r="A22" s="13" t="inlineStr">
        <is>
          <t>2025-06-18</t>
        </is>
      </c>
      <c r="B22" s="13" t="inlineStr">
        <is>
          <t>Peluquería</t>
        </is>
      </c>
      <c r="C22" s="13" t="inlineStr">
        <is>
          <t>Cuidado Personal</t>
        </is>
      </c>
      <c r="D22" s="13" t="inlineStr">
        <is>
          <t>Efectivo</t>
        </is>
      </c>
      <c r="E22" s="14" t="n">
        <v>40000</v>
      </c>
      <c r="F22" s="13" t="inlineStr">
        <is>
          <t>Opcional</t>
        </is>
      </c>
    </row>
    <row r="23">
      <c r="A23" s="11" t="inlineStr">
        <is>
          <t>2025-06-19</t>
        </is>
      </c>
      <c r="B23" s="11" t="inlineStr">
        <is>
          <t>Medicamentos farmacia</t>
        </is>
      </c>
      <c r="C23" s="11" t="inlineStr">
        <is>
          <t>Salud</t>
        </is>
      </c>
      <c r="D23" s="11" t="inlineStr">
        <is>
          <t>Débito</t>
        </is>
      </c>
      <c r="E23" s="12" t="n">
        <v>32000</v>
      </c>
      <c r="F23" s="11" t="inlineStr">
        <is>
          <t>Obligatorio</t>
        </is>
      </c>
    </row>
    <row r="24">
      <c r="A24" s="13" t="inlineStr">
        <is>
          <t>2025-06-20</t>
        </is>
      </c>
      <c r="B24" s="13" t="inlineStr">
        <is>
          <t>Gas domiciliario</t>
        </is>
      </c>
      <c r="C24" s="13" t="inlineStr">
        <is>
          <t>Servicios</t>
        </is>
      </c>
      <c r="D24" s="13" t="inlineStr">
        <is>
          <t>PSE</t>
        </is>
      </c>
      <c r="E24" s="14" t="n">
        <v>38000</v>
      </c>
      <c r="F24" s="13" t="inlineStr">
        <is>
          <t>Obligatorio</t>
        </is>
      </c>
    </row>
    <row r="25">
      <c r="A25" s="11" t="inlineStr">
        <is>
          <t>2025-06-21</t>
        </is>
      </c>
      <c r="B25" s="11" t="inlineStr">
        <is>
          <t>Mercado semanal semana 3</t>
        </is>
      </c>
      <c r="C25" s="11" t="inlineStr">
        <is>
          <t>Alimentación</t>
        </is>
      </c>
      <c r="D25" s="11" t="inlineStr">
        <is>
          <t>Débito</t>
        </is>
      </c>
      <c r="E25" s="12" t="n">
        <v>270000</v>
      </c>
      <c r="F25" s="11" t="inlineStr">
        <is>
          <t>Obligatorio</t>
        </is>
      </c>
    </row>
    <row r="26">
      <c r="A26" s="13" t="inlineStr">
        <is>
          <t>2025-06-22</t>
        </is>
      </c>
      <c r="B26" s="13" t="inlineStr">
        <is>
          <t>Parqueadero oficina x mes</t>
        </is>
      </c>
      <c r="C26" s="13" t="inlineStr">
        <is>
          <t>Transporte</t>
        </is>
      </c>
      <c r="D26" s="13" t="inlineStr">
        <is>
          <t>Transferencia</t>
        </is>
      </c>
      <c r="E26" s="14" t="n">
        <v>80000</v>
      </c>
      <c r="F26" s="13" t="inlineStr">
        <is>
          <t>Obligatorio</t>
        </is>
      </c>
    </row>
    <row r="27">
      <c r="A27" s="11" t="inlineStr">
        <is>
          <t>2025-06-23</t>
        </is>
      </c>
      <c r="B27" s="11" t="inlineStr">
        <is>
          <t>Libro para el trabajo</t>
        </is>
      </c>
      <c r="C27" s="11" t="inlineStr">
        <is>
          <t>Educación</t>
        </is>
      </c>
      <c r="D27" s="11" t="inlineStr">
        <is>
          <t>Amazon</t>
        </is>
      </c>
      <c r="E27" s="12" t="n">
        <v>48000</v>
      </c>
      <c r="F27" s="11" t="inlineStr">
        <is>
          <t>Opcional</t>
        </is>
      </c>
    </row>
    <row r="28">
      <c r="A28" s="13" t="inlineStr">
        <is>
          <t>2025-06-24</t>
        </is>
      </c>
      <c r="B28" s="13" t="inlineStr">
        <is>
          <t>Cumpleaños — regalo amigo</t>
        </is>
      </c>
      <c r="C28" s="13" t="inlineStr">
        <is>
          <t>Entretenimiento</t>
        </is>
      </c>
      <c r="D28" s="13" t="inlineStr">
        <is>
          <t>Efectivo</t>
        </is>
      </c>
      <c r="E28" s="14" t="n">
        <v>65000</v>
      </c>
      <c r="F28" s="13" t="inlineStr">
        <is>
          <t>Opcional</t>
        </is>
      </c>
    </row>
    <row r="29">
      <c r="A29" s="11" t="inlineStr">
        <is>
          <t>2025-06-25</t>
        </is>
      </c>
      <c r="B29" s="11" t="inlineStr">
        <is>
          <t>Desayuno empanadas</t>
        </is>
      </c>
      <c r="C29" s="11" t="inlineStr">
        <is>
          <t>Alimentación</t>
        </is>
      </c>
      <c r="D29" s="11" t="inlineStr">
        <is>
          <t>Efectivo</t>
        </is>
      </c>
      <c r="E29" s="12" t="n">
        <v>8000</v>
      </c>
      <c r="F29" s="11" t="inlineStr">
        <is>
          <t>Opcional</t>
        </is>
      </c>
    </row>
    <row r="30">
      <c r="A30" s="13" t="inlineStr">
        <is>
          <t>2025-06-26</t>
        </is>
      </c>
      <c r="B30" s="13" t="inlineStr">
        <is>
          <t>Revisión carros mecánica</t>
        </is>
      </c>
      <c r="C30" s="13" t="inlineStr">
        <is>
          <t>Transporte</t>
        </is>
      </c>
      <c r="D30" s="13" t="inlineStr">
        <is>
          <t>Transferencia</t>
        </is>
      </c>
      <c r="E30" s="14" t="n">
        <v>180000</v>
      </c>
      <c r="F30" s="13" t="inlineStr">
        <is>
          <t>Obligatorio</t>
        </is>
      </c>
    </row>
    <row r="31">
      <c r="A31" s="11" t="inlineStr">
        <is>
          <t>2025-06-27</t>
        </is>
      </c>
      <c r="B31" s="11" t="inlineStr">
        <is>
          <t>Supermercado aseo y limpieza</t>
        </is>
      </c>
      <c r="C31" s="11" t="inlineStr">
        <is>
          <t>Hogar</t>
        </is>
      </c>
      <c r="D31" s="11" t="inlineStr">
        <is>
          <t>Débito</t>
        </is>
      </c>
      <c r="E31" s="12" t="n">
        <v>55000</v>
      </c>
      <c r="F31" s="11" t="inlineStr">
        <is>
          <t>Obligatorio</t>
        </is>
      </c>
    </row>
    <row r="32">
      <c r="A32" s="13" t="inlineStr">
        <is>
          <t>2025-06-28</t>
        </is>
      </c>
      <c r="B32" s="13" t="inlineStr">
        <is>
          <t>Teléfono celular plan</t>
        </is>
      </c>
      <c r="C32" s="13" t="inlineStr">
        <is>
          <t>Servicios</t>
        </is>
      </c>
      <c r="D32" s="13" t="inlineStr">
        <is>
          <t>Débito</t>
        </is>
      </c>
      <c r="E32" s="14" t="n">
        <v>49000</v>
      </c>
      <c r="F32" s="13" t="inlineStr">
        <is>
          <t>Obligatorio</t>
        </is>
      </c>
    </row>
    <row r="33">
      <c r="A33" s="11" t="inlineStr">
        <is>
          <t>2025-06-29</t>
        </is>
      </c>
      <c r="B33" s="11" t="inlineStr">
        <is>
          <t>Mercado semanal semana 4</t>
        </is>
      </c>
      <c r="C33" s="11" t="inlineStr">
        <is>
          <t>Alimentación</t>
        </is>
      </c>
      <c r="D33" s="11" t="inlineStr">
        <is>
          <t>Débito</t>
        </is>
      </c>
      <c r="E33" s="12" t="n">
        <v>245000</v>
      </c>
      <c r="F33" s="11" t="inlineStr">
        <is>
          <t>Obligatorio</t>
        </is>
      </c>
    </row>
    <row r="34">
      <c r="A34" s="13" t="inlineStr">
        <is>
          <t>2025-06-30</t>
        </is>
      </c>
      <c r="B34" s="13" t="inlineStr">
        <is>
          <t>Crédito / cuota del mes</t>
        </is>
      </c>
      <c r="C34" s="13" t="inlineStr">
        <is>
          <t>Deudas</t>
        </is>
      </c>
      <c r="D34" s="13" t="inlineStr">
        <is>
          <t>Débito</t>
        </is>
      </c>
      <c r="E34" s="14" t="n">
        <v>350000</v>
      </c>
      <c r="F34" s="13" t="inlineStr">
        <is>
          <t>Obligatorio</t>
        </is>
      </c>
    </row>
    <row r="35">
      <c r="A35" s="11" t="inlineStr">
        <is>
          <t>2025-06-30</t>
        </is>
      </c>
      <c r="B35" s="11" t="inlineStr">
        <is>
          <t>Salida a parque de diversiones</t>
        </is>
      </c>
      <c r="C35" s="11" t="inlineStr">
        <is>
          <t>Entretenimiento</t>
        </is>
      </c>
      <c r="D35" s="11" t="inlineStr">
        <is>
          <t>Efectivo</t>
        </is>
      </c>
      <c r="E35" s="12" t="n">
        <v>120000</v>
      </c>
      <c r="F35" s="11" t="inlineStr">
        <is>
          <t>Opcional</t>
        </is>
      </c>
    </row>
    <row r="36">
      <c r="A36" s="13" t="inlineStr">
        <is>
          <t>2025-06-30</t>
        </is>
      </c>
      <c r="B36" s="13" t="inlineStr">
        <is>
          <t>Barbería</t>
        </is>
      </c>
      <c r="C36" s="13" t="inlineStr">
        <is>
          <t>Cuidado Personal</t>
        </is>
      </c>
      <c r="D36" s="13" t="inlineStr">
        <is>
          <t>Efectivo</t>
        </is>
      </c>
      <c r="E36" s="14" t="n">
        <v>20000</v>
      </c>
      <c r="F36" s="13" t="inlineStr">
        <is>
          <t>Opcional</t>
        </is>
      </c>
    </row>
    <row r="37">
      <c r="A37" s="11" t="inlineStr">
        <is>
          <t>2025-06-30</t>
        </is>
      </c>
      <c r="B37" s="11" t="inlineStr">
        <is>
          <t>Papelería escolar final mes</t>
        </is>
      </c>
      <c r="C37" s="11" t="inlineStr">
        <is>
          <t>Educación</t>
        </is>
      </c>
      <c r="D37" s="11" t="inlineStr">
        <is>
          <t>Efectivo</t>
        </is>
      </c>
      <c r="E37" s="12" t="n">
        <v>35000</v>
      </c>
      <c r="F37" s="11" t="inlineStr">
        <is>
          <t>Obligatorio</t>
        </is>
      </c>
    </row>
    <row r="39">
      <c r="D39" s="15" t="inlineStr">
        <is>
          <t>TOTAL MES:</t>
        </is>
      </c>
      <c r="E39" s="16">
        <f>SUM(E3:E37)</f>
        <v/>
      </c>
    </row>
  </sheetData>
  <autoFilter ref="A2:F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4" customWidth="1" min="4" max="4"/>
    <col width="10" customWidth="1" min="5" max="5"/>
  </cols>
  <sheetData>
    <row r="1" ht="22" customHeight="1">
      <c r="A1" s="17" t="inlineStr">
        <is>
          <t>CATÁLOGO SUPERMERCADO — PRECIOS REFERENCIA JUNIO 2025</t>
        </is>
      </c>
    </row>
    <row r="2">
      <c r="A2" s="18" t="inlineStr">
        <is>
          <t>PRODUCTO</t>
        </is>
      </c>
      <c r="B2" s="18" t="inlineStr">
        <is>
          <t>UNIDAD</t>
        </is>
      </c>
      <c r="C2" s="18" t="inlineStr">
        <is>
          <t>PRECIO_UNITARIO</t>
        </is>
      </c>
      <c r="D2" s="18" t="inlineStr">
        <is>
          <t>CATEGORÍA</t>
        </is>
      </c>
      <c r="E2" s="18" t="inlineStr">
        <is>
          <t>PASILLO</t>
        </is>
      </c>
    </row>
    <row r="3">
      <c r="A3" s="11" t="inlineStr">
        <is>
          <t>Arroz Diana x 500g</t>
        </is>
      </c>
      <c r="B3" s="11" t="inlineStr">
        <is>
          <t>500g</t>
        </is>
      </c>
      <c r="C3" s="12" t="n">
        <v>3800</v>
      </c>
      <c r="D3" s="11" t="inlineStr">
        <is>
          <t>Granos</t>
        </is>
      </c>
      <c r="E3" s="11" t="inlineStr">
        <is>
          <t>A1</t>
        </is>
      </c>
    </row>
    <row r="4">
      <c r="A4" s="19" t="inlineStr">
        <is>
          <t>Aceite Gourmet x 1L</t>
        </is>
      </c>
      <c r="B4" s="19" t="inlineStr">
        <is>
          <t>1 Lt</t>
        </is>
      </c>
      <c r="C4" s="20" t="n">
        <v>9500</v>
      </c>
      <c r="D4" s="19" t="inlineStr">
        <is>
          <t>Aceites</t>
        </is>
      </c>
      <c r="E4" s="19" t="inlineStr">
        <is>
          <t>A2</t>
        </is>
      </c>
    </row>
    <row r="5">
      <c r="A5" s="11" t="inlineStr">
        <is>
          <t>Leche Alquería x 1L</t>
        </is>
      </c>
      <c r="B5" s="11" t="inlineStr">
        <is>
          <t>1 Lt</t>
        </is>
      </c>
      <c r="C5" s="12" t="n">
        <v>4200</v>
      </c>
      <c r="D5" s="11" t="inlineStr">
        <is>
          <t>Lácteos</t>
        </is>
      </c>
      <c r="E5" s="11" t="inlineStr">
        <is>
          <t>B1</t>
        </is>
      </c>
    </row>
    <row r="6">
      <c r="A6" s="19" t="inlineStr">
        <is>
          <t>Huevos AA x 12 und</t>
        </is>
      </c>
      <c r="B6" s="19" t="inlineStr">
        <is>
          <t>12 und</t>
        </is>
      </c>
      <c r="C6" s="20" t="n">
        <v>13500</v>
      </c>
      <c r="D6" s="19" t="inlineStr">
        <is>
          <t>Proteínas</t>
        </is>
      </c>
      <c r="E6" s="19" t="inlineStr">
        <is>
          <t>B2</t>
        </is>
      </c>
    </row>
    <row r="7">
      <c r="A7" s="11" t="inlineStr">
        <is>
          <t>Pan tajado Bimbo</t>
        </is>
      </c>
      <c r="B7" s="11" t="inlineStr">
        <is>
          <t>1 bolsa</t>
        </is>
      </c>
      <c r="C7" s="12" t="n">
        <v>5600</v>
      </c>
      <c r="D7" s="11" t="inlineStr">
        <is>
          <t>Panadería</t>
        </is>
      </c>
      <c r="E7" s="11" t="inlineStr">
        <is>
          <t>C1</t>
        </is>
      </c>
    </row>
    <row r="8">
      <c r="A8" s="19" t="inlineStr">
        <is>
          <t>Pollo entero x kg</t>
        </is>
      </c>
      <c r="B8" s="19" t="inlineStr">
        <is>
          <t>kg</t>
        </is>
      </c>
      <c r="C8" s="20" t="n">
        <v>12000</v>
      </c>
      <c r="D8" s="19" t="inlineStr">
        <is>
          <t>Proteínas</t>
        </is>
      </c>
      <c r="E8" s="19" t="inlineStr">
        <is>
          <t>B3</t>
        </is>
      </c>
    </row>
    <row r="9">
      <c r="A9" s="11" t="inlineStr">
        <is>
          <t>Papa pastusa x kg</t>
        </is>
      </c>
      <c r="B9" s="11" t="inlineStr">
        <is>
          <t>kg</t>
        </is>
      </c>
      <c r="C9" s="12" t="n">
        <v>2800</v>
      </c>
      <c r="D9" s="11" t="inlineStr">
        <is>
          <t>Verduras</t>
        </is>
      </c>
      <c r="E9" s="11" t="inlineStr">
        <is>
          <t>D1</t>
        </is>
      </c>
    </row>
    <row r="10">
      <c r="A10" s="19" t="inlineStr">
        <is>
          <t>Cebolla cabezona x kg</t>
        </is>
      </c>
      <c r="B10" s="19" t="inlineStr">
        <is>
          <t>kg</t>
        </is>
      </c>
      <c r="C10" s="20" t="n">
        <v>3500</v>
      </c>
      <c r="D10" s="19" t="inlineStr">
        <is>
          <t>Verduras</t>
        </is>
      </c>
      <c r="E10" s="19" t="inlineStr">
        <is>
          <t>D2</t>
        </is>
      </c>
    </row>
    <row r="11">
      <c r="A11" s="11" t="inlineStr">
        <is>
          <t>Tomate chonto x kg</t>
        </is>
      </c>
      <c r="B11" s="11" t="inlineStr">
        <is>
          <t>kg</t>
        </is>
      </c>
      <c r="C11" s="12" t="n">
        <v>4200</v>
      </c>
      <c r="D11" s="11" t="inlineStr">
        <is>
          <t>Verduras</t>
        </is>
      </c>
      <c r="E11" s="11" t="inlineStr">
        <is>
          <t>D3</t>
        </is>
      </c>
    </row>
    <row r="12">
      <c r="A12" s="19" t="inlineStr">
        <is>
          <t>Zanahoria x 500g</t>
        </is>
      </c>
      <c r="B12" s="19" t="inlineStr">
        <is>
          <t>500g</t>
        </is>
      </c>
      <c r="C12" s="20" t="n">
        <v>3200</v>
      </c>
      <c r="D12" s="19" t="inlineStr">
        <is>
          <t>Verduras</t>
        </is>
      </c>
      <c r="E12" s="19" t="inlineStr">
        <is>
          <t>D4</t>
        </is>
      </c>
    </row>
    <row r="13">
      <c r="A13" s="11" t="inlineStr">
        <is>
          <t>Pasta Doria x 500g</t>
        </is>
      </c>
      <c r="B13" s="11" t="inlineStr">
        <is>
          <t>500g</t>
        </is>
      </c>
      <c r="C13" s="12" t="n">
        <v>4500</v>
      </c>
      <c r="D13" s="11" t="inlineStr">
        <is>
          <t>Granos</t>
        </is>
      </c>
      <c r="E13" s="11" t="inlineStr">
        <is>
          <t>A3</t>
        </is>
      </c>
    </row>
    <row r="14">
      <c r="A14" s="19" t="inlineStr">
        <is>
          <t>Atún Van Camps x lata</t>
        </is>
      </c>
      <c r="B14" s="19" t="inlineStr">
        <is>
          <t>lata</t>
        </is>
      </c>
      <c r="C14" s="20" t="n">
        <v>5800</v>
      </c>
      <c r="D14" s="19" t="inlineStr">
        <is>
          <t>Proteínas</t>
        </is>
      </c>
      <c r="E14" s="19" t="inlineStr">
        <is>
          <t>B4</t>
        </is>
      </c>
    </row>
    <row r="15">
      <c r="A15" s="11" t="inlineStr">
        <is>
          <t>Café Sello Rojo x 500g</t>
        </is>
      </c>
      <c r="B15" s="11" t="inlineStr">
        <is>
          <t>500g</t>
        </is>
      </c>
      <c r="C15" s="12" t="n">
        <v>22000</v>
      </c>
      <c r="D15" s="11" t="inlineStr">
        <is>
          <t>Bebidas</t>
        </is>
      </c>
      <c r="E15" s="11" t="inlineStr">
        <is>
          <t>E1</t>
        </is>
      </c>
    </row>
    <row r="16">
      <c r="A16" s="19" t="inlineStr">
        <is>
          <t>Azúcar Manuelita x kg</t>
        </is>
      </c>
      <c r="B16" s="19" t="inlineStr">
        <is>
          <t>kg</t>
        </is>
      </c>
      <c r="C16" s="20" t="n">
        <v>4200</v>
      </c>
      <c r="D16" s="19" t="inlineStr">
        <is>
          <t>Dulces</t>
        </is>
      </c>
      <c r="E16" s="19" t="inlineStr">
        <is>
          <t>A4</t>
        </is>
      </c>
    </row>
    <row r="17">
      <c r="A17" s="11" t="inlineStr">
        <is>
          <t>Sal Refisal x kg</t>
        </is>
      </c>
      <c r="B17" s="11" t="inlineStr">
        <is>
          <t>kg</t>
        </is>
      </c>
      <c r="C17" s="12" t="n">
        <v>2100</v>
      </c>
      <c r="D17" s="11" t="inlineStr">
        <is>
          <t>Condimentos</t>
        </is>
      </c>
      <c r="E17" s="11" t="inlineStr">
        <is>
          <t>A5</t>
        </is>
      </c>
    </row>
    <row r="18">
      <c r="A18" s="19" t="inlineStr">
        <is>
          <t>Detergente Ariel x 1kg</t>
        </is>
      </c>
      <c r="B18" s="19" t="inlineStr">
        <is>
          <t>kg</t>
        </is>
      </c>
      <c r="C18" s="20" t="n">
        <v>18500</v>
      </c>
      <c r="D18" s="19" t="inlineStr">
        <is>
          <t>Aseo</t>
        </is>
      </c>
      <c r="E18" s="19" t="inlineStr">
        <is>
          <t>F1</t>
        </is>
      </c>
    </row>
    <row r="19">
      <c r="A19" s="11" t="inlineStr">
        <is>
          <t>Jabón Palmolive x 3 bar</t>
        </is>
      </c>
      <c r="B19" s="11" t="inlineStr">
        <is>
          <t>3 barras</t>
        </is>
      </c>
      <c r="C19" s="12" t="n">
        <v>7800</v>
      </c>
      <c r="D19" s="11" t="inlineStr">
        <is>
          <t>Aseo</t>
        </is>
      </c>
      <c r="E19" s="11" t="inlineStr">
        <is>
          <t>F2</t>
        </is>
      </c>
    </row>
    <row r="20">
      <c r="A20" s="19" t="inlineStr">
        <is>
          <t>Papel higiénico Scott x 12</t>
        </is>
      </c>
      <c r="B20" s="19" t="inlineStr">
        <is>
          <t>12 rollos</t>
        </is>
      </c>
      <c r="C20" s="20" t="n">
        <v>28000</v>
      </c>
      <c r="D20" s="19" t="inlineStr">
        <is>
          <t>Aseo</t>
        </is>
      </c>
      <c r="E20" s="19" t="inlineStr">
        <is>
          <t>F3</t>
        </is>
      </c>
    </row>
    <row r="21">
      <c r="A21" s="11" t="inlineStr">
        <is>
          <t>Shampoo Head&amp;Shoulders</t>
        </is>
      </c>
      <c r="B21" s="11" t="inlineStr">
        <is>
          <t>1 bot</t>
        </is>
      </c>
      <c r="C21" s="12" t="n">
        <v>18500</v>
      </c>
      <c r="D21" s="11" t="inlineStr">
        <is>
          <t>Higiene</t>
        </is>
      </c>
      <c r="E21" s="11" t="inlineStr">
        <is>
          <t>G1</t>
        </is>
      </c>
    </row>
    <row r="22">
      <c r="A22" s="19" t="inlineStr">
        <is>
          <t>Gaseosa Postobon x 2L</t>
        </is>
      </c>
      <c r="B22" s="19" t="inlineStr">
        <is>
          <t>2 Lt</t>
        </is>
      </c>
      <c r="C22" s="20" t="n">
        <v>6500</v>
      </c>
      <c r="D22" s="19" t="inlineStr">
        <is>
          <t>Bebidas</t>
        </is>
      </c>
      <c r="E22" s="19" t="inlineStr">
        <is>
          <t>E2</t>
        </is>
      </c>
    </row>
    <row r="24">
      <c r="A24" s="21" t="inlineStr">
        <is>
          <t>← No modificar. Esta tabla es la fuente para INDICE+COINCIDIR en la hoja Lista_Compras</t>
        </is>
      </c>
    </row>
  </sheetData>
  <mergeCells count="2">
    <mergeCell ref="A1:E1"/>
    <mergeCell ref="A24:E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2" customWidth="1" min="3" max="3"/>
    <col width="35" customWidth="1" min="4" max="4"/>
    <col width="32" customWidth="1" min="5" max="5"/>
    <col width="16" customWidth="1" min="6" max="6"/>
  </cols>
  <sheetData>
    <row r="1" ht="22" customHeight="1">
      <c r="A1" s="17" t="inlineStr">
        <is>
          <t>LISTA DE COMPRAS — USA INDICE+COINCIDIR PARA BUSCAR LOS PRECIOS</t>
        </is>
      </c>
    </row>
    <row r="2">
      <c r="A2" s="22" t="inlineStr">
        <is>
          <t>TAREA: En la columna D, usa INDICE+COINCIDIR para traer el precio desde el Catalogo_Super</t>
        </is>
      </c>
    </row>
    <row r="3">
      <c r="A3" s="23" t="inlineStr">
        <is>
          <t>FÓRMULA A USAR:  =IFERROR(INDICE(Catalogo_Super!$C$3:$C$22, COINCIDIR(B4, Catalogo_Super!$A$3:$A$22, 0)), 0)</t>
        </is>
      </c>
    </row>
    <row r="5">
      <c r="A5" s="18" t="inlineStr">
        <is>
          <t>#</t>
        </is>
      </c>
      <c r="B5" s="18" t="inlineStr">
        <is>
          <t>PRODUCTO</t>
        </is>
      </c>
      <c r="C5" s="18" t="inlineStr">
        <is>
          <t>CANTIDAD</t>
        </is>
      </c>
      <c r="D5" s="18" t="inlineStr">
        <is>
          <t>PRECIO UNITARIO (usa fórmula)</t>
        </is>
      </c>
      <c r="E5" s="18" t="inlineStr">
        <is>
          <t>SUBTOTAL (Cant × Precio)</t>
        </is>
      </c>
      <c r="F5" s="18" t="inlineStr">
        <is>
          <t>VERIFICACIÓN</t>
        </is>
      </c>
    </row>
    <row r="6">
      <c r="A6" s="24" t="n">
        <v>1</v>
      </c>
      <c r="B6" s="25" t="inlineStr">
        <is>
          <t>Arroz Diana x 500g</t>
        </is>
      </c>
      <c r="C6" s="26" t="n">
        <v>3</v>
      </c>
      <c r="D6" s="27">
        <f>IFERROR(INDICE(Catalogo_Super!$C$3:$C$22,COINCIDIR(B6,Catalogo_Super!$A$3:$A$22,0)),0)</f>
        <v/>
      </c>
      <c r="E6" s="28">
        <f>C6*D6</f>
        <v/>
      </c>
      <c r="F6" s="29" t="n">
        <v>11400</v>
      </c>
    </row>
    <row r="7">
      <c r="A7" s="24" t="n">
        <v>2</v>
      </c>
      <c r="B7" s="30" t="inlineStr">
        <is>
          <t>Aceite Gourmet x 1L</t>
        </is>
      </c>
      <c r="C7" s="31" t="n">
        <v>2</v>
      </c>
      <c r="D7" s="27">
        <f>IFERROR(INDICE(Catalogo_Super!$C$3:$C$22,COINCIDIR(B7,Catalogo_Super!$A$3:$A$22,0)),0)</f>
        <v/>
      </c>
      <c r="E7" s="28">
        <f>C7*D7</f>
        <v/>
      </c>
      <c r="F7" s="29" t="n">
        <v>19000</v>
      </c>
    </row>
    <row r="8">
      <c r="A8" s="24" t="n">
        <v>3</v>
      </c>
      <c r="B8" s="25" t="inlineStr">
        <is>
          <t>Leche Alquería x 1L</t>
        </is>
      </c>
      <c r="C8" s="26" t="n">
        <v>6</v>
      </c>
      <c r="D8" s="32" t="inlineStr">
        <is>
          <t>← TU FÓRMULA INDICE+COINCIDIR</t>
        </is>
      </c>
      <c r="E8" s="32" t="inlineStr">
        <is>
          <t>← =C8*D8</t>
        </is>
      </c>
      <c r="F8" s="29" t="n">
        <v>25200</v>
      </c>
    </row>
    <row r="9">
      <c r="A9" s="24" t="n">
        <v>4</v>
      </c>
      <c r="B9" s="30" t="inlineStr">
        <is>
          <t>Huevos AA x 12 und</t>
        </is>
      </c>
      <c r="C9" s="31" t="n">
        <v>2</v>
      </c>
      <c r="D9" s="32" t="inlineStr">
        <is>
          <t>← TU FÓRMULA INDICE+COINCIDIR</t>
        </is>
      </c>
      <c r="E9" s="32" t="inlineStr">
        <is>
          <t>← =C9*D9</t>
        </is>
      </c>
      <c r="F9" s="29" t="n">
        <v>27000</v>
      </c>
    </row>
    <row r="10">
      <c r="A10" s="24" t="n">
        <v>5</v>
      </c>
      <c r="B10" s="25" t="inlineStr">
        <is>
          <t>Pan tajado Bimbo</t>
        </is>
      </c>
      <c r="C10" s="26" t="n">
        <v>1</v>
      </c>
      <c r="D10" s="32" t="inlineStr">
        <is>
          <t>← TU FÓRMULA INDICE+COINCIDIR</t>
        </is>
      </c>
      <c r="E10" s="32" t="inlineStr">
        <is>
          <t>← =C10*D10</t>
        </is>
      </c>
      <c r="F10" s="29" t="n">
        <v>5600</v>
      </c>
    </row>
    <row r="11">
      <c r="A11" s="24" t="n">
        <v>6</v>
      </c>
      <c r="B11" s="30" t="inlineStr">
        <is>
          <t>Pollo entero x kg</t>
        </is>
      </c>
      <c r="C11" s="31" t="n">
        <v>2</v>
      </c>
      <c r="D11" s="32" t="inlineStr">
        <is>
          <t>← TU FÓRMULA INDICE+COINCIDIR</t>
        </is>
      </c>
      <c r="E11" s="32" t="inlineStr">
        <is>
          <t>← =C11*D11</t>
        </is>
      </c>
      <c r="F11" s="29" t="n">
        <v>24000</v>
      </c>
    </row>
    <row r="12">
      <c r="A12" s="24" t="n">
        <v>7</v>
      </c>
      <c r="B12" s="25" t="inlineStr">
        <is>
          <t>Papa pastusa x kg</t>
        </is>
      </c>
      <c r="C12" s="26" t="n">
        <v>3</v>
      </c>
      <c r="D12" s="32" t="inlineStr">
        <is>
          <t>← TU FÓRMULA INDICE+COINCIDIR</t>
        </is>
      </c>
      <c r="E12" s="32" t="inlineStr">
        <is>
          <t>← =C12*D12</t>
        </is>
      </c>
      <c r="F12" s="29" t="n">
        <v>8400</v>
      </c>
    </row>
    <row r="13">
      <c r="A13" s="24" t="n">
        <v>8</v>
      </c>
      <c r="B13" s="30" t="inlineStr">
        <is>
          <t>Tomate chonto x kg</t>
        </is>
      </c>
      <c r="C13" s="31" t="n">
        <v>1</v>
      </c>
      <c r="D13" s="32" t="inlineStr">
        <is>
          <t>← TU FÓRMULA INDICE+COINCIDIR</t>
        </is>
      </c>
      <c r="E13" s="32" t="inlineStr">
        <is>
          <t>← =C13*D13</t>
        </is>
      </c>
      <c r="F13" s="29" t="n">
        <v>4200</v>
      </c>
    </row>
    <row r="14">
      <c r="A14" s="24" t="n">
        <v>9</v>
      </c>
      <c r="B14" s="25" t="inlineStr">
        <is>
          <t>Pasta Doria x 500g</t>
        </is>
      </c>
      <c r="C14" s="26" t="n">
        <v>4</v>
      </c>
      <c r="D14" s="32" t="inlineStr">
        <is>
          <t>← TU FÓRMULA INDICE+COINCIDIR</t>
        </is>
      </c>
      <c r="E14" s="32" t="inlineStr">
        <is>
          <t>← =C14*D14</t>
        </is>
      </c>
      <c r="F14" s="29" t="n">
        <v>18000</v>
      </c>
    </row>
    <row r="15">
      <c r="A15" s="24" t="n">
        <v>10</v>
      </c>
      <c r="B15" s="30" t="inlineStr">
        <is>
          <t>Atún Van Camps x lata</t>
        </is>
      </c>
      <c r="C15" s="31" t="n">
        <v>6</v>
      </c>
      <c r="D15" s="32" t="inlineStr">
        <is>
          <t>← TU FÓRMULA INDICE+COINCIDIR</t>
        </is>
      </c>
      <c r="E15" s="32" t="inlineStr">
        <is>
          <t>← =C15*D15</t>
        </is>
      </c>
      <c r="F15" s="29" t="n">
        <v>34800</v>
      </c>
    </row>
    <row r="16">
      <c r="A16" s="24" t="n">
        <v>11</v>
      </c>
      <c r="B16" s="25" t="inlineStr">
        <is>
          <t>Café Sello Rojo x 500g</t>
        </is>
      </c>
      <c r="C16" s="26" t="n">
        <v>1</v>
      </c>
      <c r="D16" s="32" t="inlineStr">
        <is>
          <t>← TU FÓRMULA INDICE+COINCIDIR</t>
        </is>
      </c>
      <c r="E16" s="32" t="inlineStr">
        <is>
          <t>← =C16*D16</t>
        </is>
      </c>
      <c r="F16" s="29" t="n">
        <v>22000</v>
      </c>
    </row>
    <row r="17">
      <c r="A17" s="24" t="n">
        <v>12</v>
      </c>
      <c r="B17" s="30" t="inlineStr">
        <is>
          <t>Azúcar Manuelita x kg</t>
        </is>
      </c>
      <c r="C17" s="31" t="n">
        <v>2</v>
      </c>
      <c r="D17" s="32" t="inlineStr">
        <is>
          <t>← TU FÓRMULA INDICE+COINCIDIR</t>
        </is>
      </c>
      <c r="E17" s="32" t="inlineStr">
        <is>
          <t>← =C17*D17</t>
        </is>
      </c>
      <c r="F17" s="29" t="n">
        <v>8400</v>
      </c>
    </row>
    <row r="18">
      <c r="A18" s="24" t="n">
        <v>13</v>
      </c>
      <c r="B18" s="25" t="inlineStr">
        <is>
          <t>Detergente Ariel x 1kg</t>
        </is>
      </c>
      <c r="C18" s="26" t="n">
        <v>1</v>
      </c>
      <c r="D18" s="32" t="inlineStr">
        <is>
          <t>← TU FÓRMULA INDICE+COINCIDIR</t>
        </is>
      </c>
      <c r="E18" s="32" t="inlineStr">
        <is>
          <t>← =C18*D18</t>
        </is>
      </c>
      <c r="F18" s="29" t="n">
        <v>18500</v>
      </c>
    </row>
    <row r="19">
      <c r="A19" s="24" t="n">
        <v>14</v>
      </c>
      <c r="B19" s="30" t="inlineStr">
        <is>
          <t>Papel higiénico Scott x 12</t>
        </is>
      </c>
      <c r="C19" s="31" t="n">
        <v>1</v>
      </c>
      <c r="D19" s="32" t="inlineStr">
        <is>
          <t>← TU FÓRMULA INDICE+COINCIDIR</t>
        </is>
      </c>
      <c r="E19" s="32" t="inlineStr">
        <is>
          <t>← =C19*D19</t>
        </is>
      </c>
      <c r="F19" s="29" t="n">
        <v>28000</v>
      </c>
    </row>
    <row r="20">
      <c r="A20" s="24" t="n">
        <v>15</v>
      </c>
      <c r="B20" s="25" t="inlineStr">
        <is>
          <t>Gaseosa Postobon x 2L</t>
        </is>
      </c>
      <c r="C20" s="26" t="n">
        <v>2</v>
      </c>
      <c r="D20" s="32" t="inlineStr">
        <is>
          <t>← TU FÓRMULA INDICE+COINCIDIR</t>
        </is>
      </c>
      <c r="E20" s="32" t="inlineStr">
        <is>
          <t>← =C20*D20</t>
        </is>
      </c>
      <c r="F20" s="29" t="n">
        <v>13000</v>
      </c>
    </row>
    <row r="22">
      <c r="D22" s="15" t="inlineStr">
        <is>
          <t>TOTAL DE LA COMPRA:</t>
        </is>
      </c>
      <c r="E22" s="33" t="inlineStr">
        <is>
          <t>← =SUMA(E6:E20)</t>
        </is>
      </c>
      <c r="F22" s="34" t="inlineStr">
        <is>
          <t>Respuesta: $368,400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24" customWidth="1" min="3" max="3"/>
    <col width="38" customWidth="1" min="4" max="4"/>
    <col width="14" customWidth="1" min="5" max="5"/>
    <col width="16" customWidth="1" min="6" max="6"/>
  </cols>
  <sheetData>
    <row r="1" ht="22" customHeight="1">
      <c r="A1" s="9" t="inlineStr">
        <is>
          <t>ANÁLISIS DEL PRESUPUESTO FAMILIAR — JUNIO 2025</t>
        </is>
      </c>
    </row>
    <row r="2">
      <c r="A2" s="22" t="inlineStr">
        <is>
          <t>Usa SUMAR.SI, CONTAR.SI y PROMEDIO.SI con los datos de la hoja "Gastos_Junio" para completar este análisis</t>
        </is>
      </c>
    </row>
    <row r="4">
      <c r="A4" s="10" t="inlineStr">
        <is>
          <t>CATEGORÍA</t>
        </is>
      </c>
      <c r="B4" s="10" t="inlineStr">
        <is>
          <t>TOTAL GASTADO (SUMAR.SI)</t>
        </is>
      </c>
      <c r="C4" s="10" t="inlineStr">
        <is>
          <t>N° GASTOS (CONTAR.SI)</t>
        </is>
      </c>
      <c r="D4" s="10" t="inlineStr">
        <is>
          <t>PROM. POR GASTO (PROMEDIO.SI)</t>
        </is>
      </c>
      <c r="E4" s="10" t="inlineStr">
        <is>
          <t>% DEL TOTAL</t>
        </is>
      </c>
      <c r="F4" s="10" t="inlineStr">
        <is>
          <t>EVALUACIÓN</t>
        </is>
      </c>
    </row>
    <row r="5">
      <c r="A5" s="35" t="inlineStr">
        <is>
          <t>Alimentación</t>
        </is>
      </c>
      <c r="B5" s="36" t="inlineStr">
        <is>
          <t>← =SUMAR.SI(Gastos_Junio!$C:$C,"Alimentación",Gastos_Junio!$E:$E)</t>
        </is>
      </c>
      <c r="C5" s="37" t="inlineStr">
        <is>
          <t>← =CONTAR.SI(Gastos_Junio!$C:$C,"Alimentación")</t>
        </is>
      </c>
      <c r="D5" s="36" t="inlineStr">
        <is>
          <t>← =IFERROR(PROMEDIO.SI(Gastos_Junio!$C:$C,"Alimentación",Gastos_Junio!$E:$E),0)</t>
        </is>
      </c>
      <c r="E5" s="38" t="inlineStr">
        <is>
          <t>← =B5/SUMA($B$5:$B$15)</t>
        </is>
      </c>
      <c r="F5" s="29" t="n">
        <v>958000</v>
      </c>
    </row>
    <row r="6">
      <c r="A6" s="35" t="inlineStr">
        <is>
          <t>Transporte</t>
        </is>
      </c>
      <c r="B6" s="36" t="inlineStr">
        <is>
          <t>← =SUMAR.SI(Gastos_Junio!$C:$C,"Transporte",Gastos_Junio!$E:$E)</t>
        </is>
      </c>
      <c r="C6" s="37" t="inlineStr">
        <is>
          <t>← =CONTAR.SI(Gastos_Junio!$C:$C,"Transporte")</t>
        </is>
      </c>
      <c r="D6" s="36" t="inlineStr">
        <is>
          <t>← =IFERROR(PROMEDIO.SI(Gastos_Junio!$C:$C,"Transporte",Gastos_Junio!$E:$E),0)</t>
        </is>
      </c>
      <c r="E6" s="38" t="inlineStr">
        <is>
          <t>← =B6/SUMA($B$5:$B$15)</t>
        </is>
      </c>
      <c r="F6" s="29" t="n">
        <v>437000</v>
      </c>
    </row>
    <row r="7">
      <c r="A7" s="35" t="inlineStr">
        <is>
          <t>Servicios</t>
        </is>
      </c>
      <c r="B7" s="36" t="inlineStr">
        <is>
          <t>← =SUMAR.SI(Gastos_Junio!$C:$C,"Servicios",Gastos_Junio!$E:$E)</t>
        </is>
      </c>
      <c r="C7" s="37" t="inlineStr">
        <is>
          <t>← =CONTAR.SI(Gastos_Junio!$C:$C,"Servicios")</t>
        </is>
      </c>
      <c r="D7" s="36" t="inlineStr">
        <is>
          <t>← =IFERROR(PROMEDIO.SI(Gastos_Junio!$C:$C,"Servicios",Gastos_Junio!$E:$E),0)</t>
        </is>
      </c>
      <c r="E7" s="38" t="inlineStr">
        <is>
          <t>← =B7/SUMA($B$5:$B$15)</t>
        </is>
      </c>
      <c r="F7" s="29" t="n">
        <v>372000</v>
      </c>
    </row>
    <row r="8">
      <c r="A8" s="35" t="inlineStr">
        <is>
          <t>Entretenimiento</t>
        </is>
      </c>
      <c r="B8" s="36" t="inlineStr">
        <is>
          <t>← =SUMAR.SI(Gastos_Junio!$C:$C,"Entretenimiento",Gastos_Junio!$E:$E)</t>
        </is>
      </c>
      <c r="C8" s="37" t="inlineStr">
        <is>
          <t>← =CONTAR.SI(Gastos_Junio!$C:$C,"Entretenimiento")</t>
        </is>
      </c>
      <c r="D8" s="36" t="inlineStr">
        <is>
          <t>← =IFERROR(PROMEDIO.SI(Gastos_Junio!$C:$C,"Entretenimiento",Gastos_Junio!$E:$E),0)</t>
        </is>
      </c>
      <c r="E8" s="38" t="inlineStr">
        <is>
          <t>← =B8/SUMA($B$5:$B$15)</t>
        </is>
      </c>
      <c r="F8" s="29" t="n">
        <v>304800</v>
      </c>
    </row>
    <row r="9">
      <c r="A9" s="35" t="inlineStr">
        <is>
          <t>Salud</t>
        </is>
      </c>
      <c r="B9" s="36" t="inlineStr">
        <is>
          <t>← =SUMAR.SI(Gastos_Junio!$C:$C,"Salud",Gastos_Junio!$E:$E)</t>
        </is>
      </c>
      <c r="C9" s="37" t="inlineStr">
        <is>
          <t>← =CONTAR.SI(Gastos_Junio!$C:$C,"Salud")</t>
        </is>
      </c>
      <c r="D9" s="36" t="inlineStr">
        <is>
          <t>← =IFERROR(PROMEDIO.SI(Gastos_Junio!$C:$C,"Salud",Gastos_Junio!$E:$E),0)</t>
        </is>
      </c>
      <c r="E9" s="38" t="inlineStr">
        <is>
          <t>← =B9/SUMA($B$5:$B$15)</t>
        </is>
      </c>
      <c r="F9" s="29" t="n">
        <v>152000</v>
      </c>
    </row>
    <row r="10">
      <c r="A10" s="35" t="inlineStr">
        <is>
          <t>Vivienda</t>
        </is>
      </c>
      <c r="B10" s="36" t="inlineStr">
        <is>
          <t>← =SUMAR.SI(Gastos_Junio!$C:$C,"Vivienda",Gastos_Junio!$E:$E)</t>
        </is>
      </c>
      <c r="C10" s="37" t="inlineStr">
        <is>
          <t>← =CONTAR.SI(Gastos_Junio!$C:$C,"Vivienda")</t>
        </is>
      </c>
      <c r="D10" s="36" t="inlineStr">
        <is>
          <t>← =IFERROR(PROMEDIO.SI(Gastos_Junio!$C:$C,"Vivienda",Gastos_Junio!$E:$E),0)</t>
        </is>
      </c>
      <c r="E10" s="38" t="inlineStr">
        <is>
          <t>← =B10/SUMA($B$5:$B$15)</t>
        </is>
      </c>
      <c r="F10" s="29" t="n">
        <v>1200000</v>
      </c>
    </row>
    <row r="11">
      <c r="A11" s="35" t="inlineStr">
        <is>
          <t>Educación</t>
        </is>
      </c>
      <c r="B11" s="36" t="inlineStr">
        <is>
          <t>← =SUMAR.SI(Gastos_Junio!$C:$C,"Educación",Gastos_Junio!$E:$E)</t>
        </is>
      </c>
      <c r="C11" s="37" t="inlineStr">
        <is>
          <t>← =CONTAR.SI(Gastos_Junio!$C:$C,"Educación")</t>
        </is>
      </c>
      <c r="D11" s="36" t="inlineStr">
        <is>
          <t>← =IFERROR(PROMEDIO.SI(Gastos_Junio!$C:$C,"Educación",Gastos_Junio!$E:$E),0)</t>
        </is>
      </c>
      <c r="E11" s="38" t="inlineStr">
        <is>
          <t>← =B11/SUMA($B$5:$B$15)</t>
        </is>
      </c>
      <c r="F11" s="29" t="n">
        <v>168000</v>
      </c>
    </row>
    <row r="12">
      <c r="A12" s="35" t="inlineStr">
        <is>
          <t>Ropa</t>
        </is>
      </c>
      <c r="B12" s="36" t="inlineStr">
        <is>
          <t>← =SUMAR.SI(Gastos_Junio!$C:$C,"Ropa",Gastos_Junio!$E:$E)</t>
        </is>
      </c>
      <c r="C12" s="37" t="inlineStr">
        <is>
          <t>← =CONTAR.SI(Gastos_Junio!$C:$C,"Ropa")</t>
        </is>
      </c>
      <c r="D12" s="36" t="inlineStr">
        <is>
          <t>← =IFERROR(PROMEDIO.SI(Gastos_Junio!$C:$C,"Ropa",Gastos_Junio!$E:$E),0)</t>
        </is>
      </c>
      <c r="E12" s="38" t="inlineStr">
        <is>
          <t>← =B12/SUMA($B$5:$B$15)</t>
        </is>
      </c>
      <c r="F12" s="29" t="n">
        <v>95000</v>
      </c>
    </row>
    <row r="13">
      <c r="A13" s="35" t="inlineStr">
        <is>
          <t>Cuidado Personal</t>
        </is>
      </c>
      <c r="B13" s="36" t="inlineStr">
        <is>
          <t>← =SUMAR.SI(Gastos_Junio!$C:$C,"Cuidado Personal",Gastos_Junio!$E:$E)</t>
        </is>
      </c>
      <c r="C13" s="37" t="inlineStr">
        <is>
          <t>← =CONTAR.SI(Gastos_Junio!$C:$C,"Cuidado Personal")</t>
        </is>
      </c>
      <c r="D13" s="36" t="inlineStr">
        <is>
          <t>← =IFERROR(PROMEDIO.SI(Gastos_Junio!$C:$C,"Cuidado Personal",Gastos_Junio!$E:$E),0)</t>
        </is>
      </c>
      <c r="E13" s="38" t="inlineStr">
        <is>
          <t>← =B13/SUMA($B$5:$B$15)</t>
        </is>
      </c>
      <c r="F13" s="29" t="n">
        <v>60000</v>
      </c>
    </row>
    <row r="14">
      <c r="A14" s="35" t="inlineStr">
        <is>
          <t>Hogar</t>
        </is>
      </c>
      <c r="B14" s="36" t="inlineStr">
        <is>
          <t>← =SUMAR.SI(Gastos_Junio!$C:$C,"Hogar",Gastos_Junio!$E:$E)</t>
        </is>
      </c>
      <c r="C14" s="37" t="inlineStr">
        <is>
          <t>← =CONTAR.SI(Gastos_Junio!$C:$C,"Hogar")</t>
        </is>
      </c>
      <c r="D14" s="36" t="inlineStr">
        <is>
          <t>← =IFERROR(PROMEDIO.SI(Gastos_Junio!$C:$C,"Hogar",Gastos_Junio!$E:$E),0)</t>
        </is>
      </c>
      <c r="E14" s="38" t="inlineStr">
        <is>
          <t>← =B14/SUMA($B$5:$B$15)</t>
        </is>
      </c>
      <c r="F14" s="29" t="n">
        <v>55000</v>
      </c>
    </row>
    <row r="15">
      <c r="A15" s="35" t="inlineStr">
        <is>
          <t>Deudas</t>
        </is>
      </c>
      <c r="B15" s="36" t="inlineStr">
        <is>
          <t>← =SUMAR.SI(Gastos_Junio!$C:$C,"Deudas",Gastos_Junio!$E:$E)</t>
        </is>
      </c>
      <c r="C15" s="37" t="inlineStr">
        <is>
          <t>← =CONTAR.SI(Gastos_Junio!$C:$C,"Deudas")</t>
        </is>
      </c>
      <c r="D15" s="36" t="inlineStr">
        <is>
          <t>← =IFERROR(PROMEDIO.SI(Gastos_Junio!$C:$C,"Deudas",Gastos_Junio!$E:$E),0)</t>
        </is>
      </c>
      <c r="E15" s="38" t="inlineStr">
        <is>
          <t>← =B15/SUMA($B$5:$B$15)</t>
        </is>
      </c>
      <c r="F15" s="29" t="n">
        <v>350000</v>
      </c>
    </row>
    <row r="16">
      <c r="A16" s="15" t="inlineStr">
        <is>
          <t>TOTAL GASTO MENSUAL</t>
        </is>
      </c>
      <c r="B16" s="16">
        <f>SUMA(B5:B15)</f>
        <v/>
      </c>
      <c r="F16" s="39" t="n">
        <v>4151800</v>
      </c>
    </row>
    <row r="18">
      <c r="A18" s="5" t="inlineStr">
        <is>
          <t>PREGUNTAS PARA REFLEXIONAR:</t>
        </is>
      </c>
    </row>
    <row r="19" ht="28" customHeight="1">
      <c r="A19" s="22" t="inlineStr">
        <is>
          <t>1. ¿En qué categoría gastaste más dinero este mes? ¿Es un gasto obligatorio o podría reducirse?</t>
        </is>
      </c>
      <c r="D19" s="40" t="inlineStr">
        <is>
          <t>← Escribe tu respuesta aquí</t>
        </is>
      </c>
      <c r="E19" s="41" t="n"/>
      <c r="F19" s="42" t="n"/>
    </row>
    <row r="20" ht="28" customHeight="1">
      <c r="A20" s="22" t="inlineStr">
        <is>
          <t>2. ¿Cuánto representan los gastos "opcionales" (entretenimiento + ropa + cuidado) del total?</t>
        </is>
      </c>
      <c r="D20" s="40" t="inlineStr">
        <is>
          <t>← Escribe tu respuesta aquí</t>
        </is>
      </c>
      <c r="E20" s="41" t="n"/>
      <c r="F20" s="42" t="n"/>
    </row>
    <row r="21" ht="28" customHeight="1">
      <c r="A21" s="22" t="inlineStr">
        <is>
          <t>3. Si quisieras ahorrar $200,000 el próximo mes, ¿en qué categorías recortarías? ¿Cómo?</t>
        </is>
      </c>
      <c r="D21" s="40" t="inlineStr">
        <is>
          <t>← Escribe tu respuesta aquí</t>
        </is>
      </c>
      <c r="E21" s="41" t="n"/>
      <c r="F21" s="42" t="n"/>
    </row>
  </sheetData>
  <mergeCells count="9">
    <mergeCell ref="A2:F2"/>
    <mergeCell ref="D19:F19"/>
    <mergeCell ref="A19:C19"/>
    <mergeCell ref="A1:F1"/>
    <mergeCell ref="A18:F18"/>
    <mergeCell ref="A21:C21"/>
    <mergeCell ref="D21:F21"/>
    <mergeCell ref="D20:F20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2026-06-23T20:28:19Z</dcterms:created>
  <dcterms:modified xmlns:dcterms="http://purl.org/dc/terms/" xmlns:xsi="http://www.w3.org/2001/XMLSchema-instance" xsi:type="dcterms:W3CDTF">2026-06-23T20:28:19Z</dcterms:modified>
</cp:coreProperties>
</file>